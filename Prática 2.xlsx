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rbara.goncalves\Downloads\"/>
    </mc:Choice>
  </mc:AlternateContent>
  <xr:revisionPtr revIDLastSave="0" documentId="13_ncr:1_{58889614-FA65-41D3-911B-3CD5040B9FBB}" xr6:coauthVersionLast="47" xr6:coauthVersionMax="47" xr10:uidLastSave="{00000000-0000-0000-0000-000000000000}"/>
  <bookViews>
    <workbookView xWindow="-108" yWindow="-108" windowWidth="23256" windowHeight="12456" xr2:uid="{476682F3-005D-4AE3-B775-E1B8E45A9C0F}"/>
  </bookViews>
  <sheets>
    <sheet name="Rastreio" sheetId="2" r:id="rId1"/>
    <sheet name="PEDIDOS" sheetId="1" r:id="rId2"/>
    <sheet name="LISTA" sheetId="3" r:id="rId3"/>
  </sheets>
  <definedNames>
    <definedName name="_xlnm._FilterDatabase" localSheetId="1" hidden="1">PEDIDOS!$B$4:$L$104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1" i="2" l="1" a="1"/>
  <c r="B51" i="2" s="1"/>
  <c r="C44" i="2"/>
  <c r="C43" i="2"/>
  <c r="C42" i="2"/>
  <c r="D42" i="2" s="1"/>
  <c r="C41" i="2"/>
  <c r="C40" i="2"/>
  <c r="D40" i="2" s="1"/>
  <c r="C39" i="2"/>
  <c r="D39" i="2" s="1"/>
  <c r="C34" i="2"/>
  <c r="E34" i="2" s="1"/>
  <c r="C33" i="2"/>
  <c r="D33" i="2" s="1"/>
  <c r="C32" i="2"/>
  <c r="D32" i="2" s="1"/>
  <c r="C31" i="2"/>
  <c r="D31" i="2" s="1"/>
  <c r="C30" i="2"/>
  <c r="D30" i="2" s="1"/>
  <c r="C21" i="2"/>
  <c r="E21" i="2" s="1"/>
  <c r="C22" i="2"/>
  <c r="D22" i="2" s="1"/>
  <c r="C23" i="2"/>
  <c r="D23" i="2" s="1"/>
  <c r="C24" i="2"/>
  <c r="E24" i="2" s="1"/>
  <c r="C20" i="2"/>
  <c r="D20" i="2" s="1"/>
  <c r="F44" i="2"/>
  <c r="F43" i="2"/>
  <c r="F42" i="2"/>
  <c r="F41" i="2"/>
  <c r="F40" i="2"/>
  <c r="F39" i="2"/>
  <c r="F34" i="2"/>
  <c r="F33" i="2"/>
  <c r="F32" i="2"/>
  <c r="F31" i="2"/>
  <c r="F30" i="2"/>
  <c r="F21" i="2"/>
  <c r="F22" i="2"/>
  <c r="F23" i="2"/>
  <c r="F24" i="2"/>
  <c r="F20" i="2"/>
  <c r="E44" i="2"/>
  <c r="E43" i="2"/>
  <c r="E42" i="2"/>
  <c r="E41" i="2"/>
  <c r="E30" i="2"/>
  <c r="D44" i="2"/>
  <c r="D43" i="2"/>
  <c r="D41" i="2"/>
  <c r="E33" i="2" l="1"/>
  <c r="D34" i="2"/>
  <c r="E39" i="2"/>
  <c r="E40" i="2"/>
  <c r="E31" i="2"/>
  <c r="E32" i="2"/>
  <c r="E23" i="2"/>
  <c r="D24" i="2"/>
  <c r="D21" i="2"/>
  <c r="E22" i="2"/>
  <c r="E20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<sst xmlns="http://schemas.openxmlformats.org/spreadsheetml/2006/main" count="547" uniqueCount="270">
  <si>
    <t>Order ID</t>
  </si>
  <si>
    <t>Tracking Number</t>
  </si>
  <si>
    <t>Quantity</t>
  </si>
  <si>
    <t>Unit Price</t>
  </si>
  <si>
    <t>Order Date</t>
  </si>
  <si>
    <t>Order Status</t>
  </si>
  <si>
    <t>Tax Paid</t>
  </si>
  <si>
    <t>Shipping Fee</t>
  </si>
  <si>
    <t>Description</t>
  </si>
  <si>
    <t>FQYJB7WVX1BA</t>
  </si>
  <si>
    <t>Shipped</t>
  </si>
  <si>
    <t>Game: Pokémon SoulSilver. A must-play for fans!</t>
  </si>
  <si>
    <t>Normal [XP]</t>
  </si>
  <si>
    <t>K9V2ZOC8O311</t>
  </si>
  <si>
    <t>Game: Pokémon Let's Go, Eevee!. A must-play for fans!</t>
  </si>
  <si>
    <t>Complete [XZ]!</t>
  </si>
  <si>
    <t>TQW81874SW9B</t>
  </si>
  <si>
    <t>Delivered</t>
  </si>
  <si>
    <t>Game: Mario Tennis Open. A must-play for fans!</t>
  </si>
  <si>
    <t>Complete [DLX]</t>
  </si>
  <si>
    <t>3OAI38M9Y64J</t>
  </si>
  <si>
    <t>Game: The Legend of Zelda: Twilight Princess. A must-play for fans!</t>
  </si>
  <si>
    <t>NYS1UKKWB3IQ</t>
  </si>
  <si>
    <t>Game: Super Mario Odyssey. A must-play for fans!</t>
  </si>
  <si>
    <t>83OT9A31ZM44</t>
  </si>
  <si>
    <t>Pending</t>
  </si>
  <si>
    <t>Game: Animal Crossing: New Leaf. A must-play for fans!</t>
  </si>
  <si>
    <t>Normal [V3]!</t>
  </si>
  <si>
    <t>3ECR4N54MIV6</t>
  </si>
  <si>
    <t>Game: Pokémon Black. A must-play for fans!</t>
  </si>
  <si>
    <t>DXL5436QAPFJ</t>
  </si>
  <si>
    <t>Game: Metroid Prime Hunters. A must-play for fans!</t>
  </si>
  <si>
    <t>Complete [DLC+]</t>
  </si>
  <si>
    <t>Z10RJ2U971AA</t>
  </si>
  <si>
    <t>Game: Donkey Kong Country Returns. A must-play for fans!</t>
  </si>
  <si>
    <t>VD8C2P78DFY9</t>
  </si>
  <si>
    <t>Game: Pokémon Platinum. A must-play for fans!</t>
  </si>
  <si>
    <t>X2RH4QXQTPL0</t>
  </si>
  <si>
    <t>Game: The Legend of Zelda: Wind Waker. A must-play for fans!</t>
  </si>
  <si>
    <t>8SLVOSG6EVJR</t>
  </si>
  <si>
    <t>Game: Fire Emblem: Fates. A must-play for fans!</t>
  </si>
  <si>
    <t>BVJ3AB1CIIBS</t>
  </si>
  <si>
    <t>1G8S19Y8BW8G</t>
  </si>
  <si>
    <t>9L7Z9H8U1YI5</t>
  </si>
  <si>
    <t>Game: The Legend of Zelda: A Link to the Past. A must-play for fans!</t>
  </si>
  <si>
    <t>JP6RJH7RKWZ3</t>
  </si>
  <si>
    <t>Game: WarioWare Gold. A must-play for fans!</t>
  </si>
  <si>
    <t>VAFVXPU4P6WN</t>
  </si>
  <si>
    <t>Game: Metroid Dread. A must-play for fans!</t>
  </si>
  <si>
    <t>EAI679D8ELHG</t>
  </si>
  <si>
    <t>Game: Super Mario Maker. A must-play for fans!</t>
  </si>
  <si>
    <t>XJV8I42UXJPM</t>
  </si>
  <si>
    <t>Game: Splatoon. A must-play for fans!</t>
  </si>
  <si>
    <t>TQEYE3JUHVCF</t>
  </si>
  <si>
    <t>Game: The Legend of Zelda: Skyward Sword. A must-play for fans!</t>
  </si>
  <si>
    <t>1RRJR0ZKIS6I</t>
  </si>
  <si>
    <t>Game: Luigi's Mansion. A must-play for fans!</t>
  </si>
  <si>
    <t>S98PIMZIS1RP</t>
  </si>
  <si>
    <t>Game: Super Mario Galaxy 2. A must-play for fans!</t>
  </si>
  <si>
    <t>25BGKYQZDQFM</t>
  </si>
  <si>
    <t>Game: Mario Kart 8 Deluxe. A must-play for fans!</t>
  </si>
  <si>
    <t>23F0OV43Q8H8</t>
  </si>
  <si>
    <t>Game: Fire Emblem: Sacred Stones. A must-play for fans!</t>
  </si>
  <si>
    <t>R3LBB8CCACNU</t>
  </si>
  <si>
    <t>Game: Paper Mario: The Thousand-Year Door. A must-play for fans!</t>
  </si>
  <si>
    <t>B9ZM5EV2B6T8</t>
  </si>
  <si>
    <t>Game: Pokémon Red. A must-play for fans!</t>
  </si>
  <si>
    <t>BB69F9E1IO2K</t>
  </si>
  <si>
    <t>Game: New Super Mario Bros. U. A must-play for fans!</t>
  </si>
  <si>
    <t>C75FMWK5QZ5A</t>
  </si>
  <si>
    <t>IBDYTUO8B5WV</t>
  </si>
  <si>
    <t>Game: The Legend of Zelda: A Link Between Worlds. A must-play for fans!</t>
  </si>
  <si>
    <t>QMHPVDIRK46E</t>
  </si>
  <si>
    <t>Game: Super Mario 3D Land. A must-play for fans!</t>
  </si>
  <si>
    <t>4U1XNGSK6N6M</t>
  </si>
  <si>
    <t>SNCIV04KUCQR</t>
  </si>
  <si>
    <t>R6JKWBGVHSKJ</t>
  </si>
  <si>
    <t>Game: Super Smash Bros. Ultimate. A must-play for fans!</t>
  </si>
  <si>
    <t>C66UXXS9QCDK</t>
  </si>
  <si>
    <t>Game: The Legend of Zelda: Ocarina of Time 3D. A must-play for fans!</t>
  </si>
  <si>
    <t>J7GZGHTV5NL4</t>
  </si>
  <si>
    <t>Game: Super Mario All-Stars. A must-play for fans!</t>
  </si>
  <si>
    <t>JDKDDXVOHN5U</t>
  </si>
  <si>
    <t>Game: Super Mario 64 DS. A must-play for fans!</t>
  </si>
  <si>
    <t>3MERXK2C7ERV</t>
  </si>
  <si>
    <t>Game: Mega Man X. A must-play for fans!</t>
  </si>
  <si>
    <t>CPSIL1RNJ8TU</t>
  </si>
  <si>
    <t>Game: The Legend of Zelda: Minish Cap. A must-play for fans!</t>
  </si>
  <si>
    <t>O7YRXF19E7VN</t>
  </si>
  <si>
    <t>X0OFFBASII5C</t>
  </si>
  <si>
    <t>Game: Mario Golf: Super Rush. A must-play for fans!</t>
  </si>
  <si>
    <t>HEDWCPP7LTQ4</t>
  </si>
  <si>
    <t>Game: Pokémon HeartGold. A must-play for fans!</t>
  </si>
  <si>
    <t>NRI1WU86OWEI</t>
  </si>
  <si>
    <t>M4TXDUGHKU99</t>
  </si>
  <si>
    <t>Game: The Legend of Zelda: The Wind Waker HD. A must-play for fans!</t>
  </si>
  <si>
    <t>89AU4OMTXLBJ</t>
  </si>
  <si>
    <t>Game: Hyrule Warriors. A must-play for fans!</t>
  </si>
  <si>
    <t>HPUBGCFC5QKA</t>
  </si>
  <si>
    <t>Game: Pokémon White. A must-play for fans!</t>
  </si>
  <si>
    <t>535IZVQ7TSLJ</t>
  </si>
  <si>
    <t>S8IETMTNN25S</t>
  </si>
  <si>
    <t>Game: Super Smash Bros. Melee. A must-play for fans!</t>
  </si>
  <si>
    <t>DML313XSBU9K</t>
  </si>
  <si>
    <t>UUGI30I4GMCR</t>
  </si>
  <si>
    <t>Game: The Legend of Zelda: Breath of the Wild - Champions' Ballad. A must-play for fans!</t>
  </si>
  <si>
    <t>PRXOB1BKDCS5</t>
  </si>
  <si>
    <t>IRK0SQ84MHD3</t>
  </si>
  <si>
    <t>Game: Pokémon Blue. A must-play for fans!</t>
  </si>
  <si>
    <t>VYQXIAH1VFRR</t>
  </si>
  <si>
    <t>F6ELCYK7XGQN</t>
  </si>
  <si>
    <t>5C9BN60R5UOU</t>
  </si>
  <si>
    <t>Game: The Legend of Zelda: Breath of the Wild. A must-play for fans!</t>
  </si>
  <si>
    <t>9U6FZ4HSQSC3</t>
  </si>
  <si>
    <t>6E72QGL1F3MB</t>
  </si>
  <si>
    <t>JA8IN5Q1OF2E</t>
  </si>
  <si>
    <t>Game: Mario Kart DS. A must-play for fans!</t>
  </si>
  <si>
    <t>U3JXIW8NSU8V</t>
  </si>
  <si>
    <t>Game: The Legend of Zelda: Four Swords Adventures. A must-play for fans!</t>
  </si>
  <si>
    <t>9D01LDMYJZ0W</t>
  </si>
  <si>
    <t>MQ21YVK7YX62</t>
  </si>
  <si>
    <t>Game: Tetris DS. A must-play for fans!</t>
  </si>
  <si>
    <t>GPAIWF2PKPMX</t>
  </si>
  <si>
    <t>FYQZP1OZ46AA</t>
  </si>
  <si>
    <t>5GK4W4X4TF8E</t>
  </si>
  <si>
    <t>44BB5AOPHSFB</t>
  </si>
  <si>
    <t>Z8SUAV7W0WNL</t>
  </si>
  <si>
    <t>ZW8FGSL9G42H</t>
  </si>
  <si>
    <t>Game: Pokémon Let's Go, Pikachu!. A must-play for fans!</t>
  </si>
  <si>
    <t>GC9GL6BRV1FK</t>
  </si>
  <si>
    <t>Game: Splatoon 2. A must-play for fans!</t>
  </si>
  <si>
    <t>XZTYCUBYTAUA</t>
  </si>
  <si>
    <t>Game: Mario &amp; Luigi: Superstar Saga. A must-play for fans!</t>
  </si>
  <si>
    <t>WO645UXB5A9H</t>
  </si>
  <si>
    <t>NMBPFIZE7YF0</t>
  </si>
  <si>
    <t>Game: Tetris 99. A must-play for fans!</t>
  </si>
  <si>
    <t>1H12L2QQOLZ2</t>
  </si>
  <si>
    <t>GXLGYZCE8HYW</t>
  </si>
  <si>
    <t>7V6BZZPKPAE7</t>
  </si>
  <si>
    <t>LW8G9GCYS5O0</t>
  </si>
  <si>
    <t>DAQMETVEP0F0</t>
  </si>
  <si>
    <t>Game: The Legend of Zelda: Phantom Hourglass. A must-play for fans!</t>
  </si>
  <si>
    <t>V5ZYHNE4OH7G</t>
  </si>
  <si>
    <t>VZXVGW2D2W7F</t>
  </si>
  <si>
    <t>Game: Luigi's Mansion: Dark Moon. A must-play for fans!</t>
  </si>
  <si>
    <t>INL9OZ4FLL8H</t>
  </si>
  <si>
    <t>DCT4U1RW5D2S</t>
  </si>
  <si>
    <t>Game: Pokémon Moon. A must-play for fans!</t>
  </si>
  <si>
    <t>3FKHQ9D7RD9V</t>
  </si>
  <si>
    <t>PL4NPIMW5KX4</t>
  </si>
  <si>
    <t>WBIV9KPDI6QQ</t>
  </si>
  <si>
    <t>9OIDPBJK4K9R</t>
  </si>
  <si>
    <t>Game: Donkey Kong Country: Tropical Freeze. A must-play for fans!</t>
  </si>
  <si>
    <t>4YYSZ4I2NNFR</t>
  </si>
  <si>
    <t>Game: Mario &amp; Luigi: Bowser's Inside Story. A must-play for fans!</t>
  </si>
  <si>
    <t>WB8ZVL1OK62E</t>
  </si>
  <si>
    <t>YMFIBB6BLOS4</t>
  </si>
  <si>
    <t>Game: Super Mario Party. A must-play for fans!</t>
  </si>
  <si>
    <t>0LHXAN6Z5HLC</t>
  </si>
  <si>
    <t>3AEZS929CK2S</t>
  </si>
  <si>
    <t>7B5BCC65NKV6</t>
  </si>
  <si>
    <t>VLG41V2TIRHW</t>
  </si>
  <si>
    <t>DG5KJ7DCDM8L</t>
  </si>
  <si>
    <t>CU96U0HETLRI</t>
  </si>
  <si>
    <t>7UHKGWDLWC60</t>
  </si>
  <si>
    <t>5S6AHO4G4BRJ</t>
  </si>
  <si>
    <t>Game: Super Mario Galaxy. A must-play for fans!</t>
  </si>
  <si>
    <t>DGVFBO8R3YMY</t>
  </si>
  <si>
    <t>WEAIMY1A5VB9</t>
  </si>
  <si>
    <t>Game: Yoshi's Crafted World. A must-play for fans!</t>
  </si>
  <si>
    <t>IUWA9H833MM1</t>
  </si>
  <si>
    <t>XYQA7KM2P4D3</t>
  </si>
  <si>
    <t>OMG5F54YC0W6</t>
  </si>
  <si>
    <t>VRY0LE9LS6C3</t>
  </si>
  <si>
    <t>Game: Pokémon Sun. A must-play for fans!</t>
  </si>
  <si>
    <t>Pedidos que Estão pra Chegar</t>
  </si>
  <si>
    <t>Pedidos com Problema</t>
  </si>
  <si>
    <t>Product Name</t>
  </si>
  <si>
    <t>Version</t>
  </si>
  <si>
    <r>
      <t xml:space="preserve">CADÊ MEU JOGO
</t>
    </r>
    <r>
      <rPr>
        <i/>
        <vertAlign val="superscript"/>
        <sz val="18"/>
        <color theme="2" tint="-0.749992370372631"/>
        <rFont val="Aptos Narrow"/>
        <family val="2"/>
        <scheme val="minor"/>
      </rPr>
      <t>Rastreio de compras de e-commerce baseado em seus códigos de rastreio</t>
    </r>
  </si>
  <si>
    <t>Pedidos que vão ser devolvidos</t>
  </si>
  <si>
    <t>Bought 1x [Pokémon SoulSilver] - AliExpress [SWT]</t>
  </si>
  <si>
    <t>Bought 1x [Pokémon Let's Go, Eevee!] - AliExpress [SWT]</t>
  </si>
  <si>
    <t>Bought 1x [The Legend of Zelda: Twilight Princess] - AliExpress [SWT]</t>
  </si>
  <si>
    <t>Bought 1x [Metroid Prime Hunters] - AliExpress [SWT]</t>
  </si>
  <si>
    <t>Bought 1x [Donkey Kong Country Returns] - AliExpress [SWT]</t>
  </si>
  <si>
    <t>Bought 1x [Fire Emblem: Fates] - AliExpress [SWT]</t>
  </si>
  <si>
    <t>Bought 1x [WarioWare Gold] - AliExpress [SWT]</t>
  </si>
  <si>
    <t>Bought 1x [Super Mario Maker] - AliExpress [SWT]</t>
  </si>
  <si>
    <t>Bought 1x [Luigi's Mansion] - AliExpress [SWT]</t>
  </si>
  <si>
    <t>Bought 1x [Mario Kart 8 Deluxe] - AliExpress [SWT]</t>
  </si>
  <si>
    <t>Bought 1x [Fire Emblem: Sacred Stones] - AliExpress [SWT]</t>
  </si>
  <si>
    <t>Bought 1x [New Super Mario Bros. U] - AliExpress [SWT]</t>
  </si>
  <si>
    <t>Bought 1x [Animal Crossing: New Leaf] - AliExpress [SWT]</t>
  </si>
  <si>
    <t>Bought 1x [Super Mario 3D Land] - AliExpress [SWT]</t>
  </si>
  <si>
    <t>Bought 1x [The Legend of Zelda: Minish Cap] - AliExpress [SWT]</t>
  </si>
  <si>
    <t>Bought 1x [The Legend of Zelda: Breath of the Wild - Champions' Ballad] - AliExpress [SWT]</t>
  </si>
  <si>
    <t>Bought 1x [Mario Kart DS] - AliExpress [SWT]</t>
  </si>
  <si>
    <t>Bought 1x [The Legend of Zelda: Four Swords Adventures] - AliExpress [SWT]</t>
  </si>
  <si>
    <t>Bought 1x [Tetris DS] - AliExpress [SWT]</t>
  </si>
  <si>
    <t>Bought 1x [Mario &amp; Luigi: Superstar Saga] - AliExpress [SWT]</t>
  </si>
  <si>
    <t>Bought 1x [The Legend of Zelda: Skyward Sword] - AliExpress [SWT]</t>
  </si>
  <si>
    <t>Bought 1x [Luigi's Mansion: Dark Moon] - AliExpress [SWT]</t>
  </si>
  <si>
    <t>Bought 1x [The Legend of Zelda: Breath of the Wild] - AliExpress [SWT]</t>
  </si>
  <si>
    <t>Bought 1x [Pokémon Blue] - AliExpress [SWT]</t>
  </si>
  <si>
    <t>Bought 1x [Hyrule Warriors] - AliExpress [SWT]</t>
  </si>
  <si>
    <t>Bought 1x [Pokémon Let's Go, Pikachu!] - AliExpress [SWT]</t>
  </si>
  <si>
    <t>Bought 1x [Yoshi's Crafted World] - AliExpress [SWT]</t>
  </si>
  <si>
    <t>Bought 1x [Pokémon Sun] - AliExpress [SWT]</t>
  </si>
  <si>
    <t>Bought 1x [Super Mario Odyssey] - AliExpress [NDS]</t>
  </si>
  <si>
    <t>Bought 1x [Animal Crossing: New Leaf] - AliExpress [NDS]</t>
  </si>
  <si>
    <t>Bought 1x [Pokémon Black] - AliExpress [NDS]</t>
  </si>
  <si>
    <t>Bought 1x [Pokémon Platinum] - AliExpress [NDS]</t>
  </si>
  <si>
    <t>Bought 1x [The Legend of Zelda: Wind Waker] - AliExpress [NDS]</t>
  </si>
  <si>
    <t>Bought 1x [Donkey Kong Country Returns] - AliExpress [NDS]</t>
  </si>
  <si>
    <t>Bought 1x [Metroid Dread] - AliExpress [NDS]</t>
  </si>
  <si>
    <t>Bought 1x [Splatoon] - AliExpress [NDS]</t>
  </si>
  <si>
    <t>Bought 1x [The Legend of Zelda: Skyward Sword] - AliExpress [NDS]</t>
  </si>
  <si>
    <t>Bought 1x [Super Mario Galaxy 2] - AliExpress [NDS]</t>
  </si>
  <si>
    <t>Bought 1x [Paper Mario: The Thousand-Year Door] - AliExpress [NDS]</t>
  </si>
  <si>
    <t>Bought 1x [Pokémon Red] - AliExpress [NDS]</t>
  </si>
  <si>
    <t>Bought 1x [The Legend of Zelda: A Link to the Past] - AliExpress [NDS]</t>
  </si>
  <si>
    <t>Bought 1x [Super Mario All-Stars] - AliExpress [NDS]</t>
  </si>
  <si>
    <t>Bought 1x [Super Mario 64 DS] - AliExpress [NDS]</t>
  </si>
  <si>
    <t>Bought 1x [Mario Kart 8 Deluxe] - AliExpress [NDS]</t>
  </si>
  <si>
    <t>Bought 1x [Mario Golf: Super Rush] - AliExpress [NDS]</t>
  </si>
  <si>
    <t>Bought 1x [Pokémon HeartGold] - AliExpress [NDS]</t>
  </si>
  <si>
    <t>Bought 1x [Pokémon White] - AliExpress [NDS]</t>
  </si>
  <si>
    <t>Bought 1x [The Legend of Zelda: Breath of the Wild] - AliExpress [NDS]</t>
  </si>
  <si>
    <t>Bought 1x [Mega Man X] - AliExpress [NDS]</t>
  </si>
  <si>
    <t>Bought 1x [Tetris 99] - AliExpress [NDS]</t>
  </si>
  <si>
    <t>Bought 1x [Super Mario Maker] - AliExpress [NDS]</t>
  </si>
  <si>
    <t>Bought 1x [Pokémon Moon] - AliExpress [NDS]</t>
  </si>
  <si>
    <t>Bought 1x [Donkey Kong Country: Tropical Freeze] - AliExpress [NDS]</t>
  </si>
  <si>
    <t>Bought 1x [Mario &amp; Luigi: Bowser's Inside Story] - AliExpress [NDS]</t>
  </si>
  <si>
    <t>Bought 1x [Pokémon Blue] - AliExpress [NDS]</t>
  </si>
  <si>
    <t>Bought 1x [Hyrule Warriors] - AliExpress [NDS]</t>
  </si>
  <si>
    <t>Bought 1x [Luigi's Mansion] - AliExpress [NDS]</t>
  </si>
  <si>
    <t>Bought 1x [Mario Tennis Open] - AliExpress [3DS]</t>
  </si>
  <si>
    <t>Bought 1x [The Legend of Zelda: A Link to the Past] - AliExpress [3DS]</t>
  </si>
  <si>
    <t>Bought 1x [The Legend of Zelda: A Link Between Worlds] - AliExpress [3DS]</t>
  </si>
  <si>
    <t>Bought 1x [WarioWare Gold] - AliExpress [3DS]</t>
  </si>
  <si>
    <t>Bought 1x [Super Smash Bros. Ultimate] - AliExpress [3DS]</t>
  </si>
  <si>
    <t>Bought 1x [The Legend of Zelda: Ocarina of Time 3D] - AliExpress [3DS]</t>
  </si>
  <si>
    <t>Bought 1x [Mega Man X] - AliExpress [3DS]</t>
  </si>
  <si>
    <t>Bought 1x [The Legend of Zelda: The Wind Waker HD] - AliExpress [3DS]</t>
  </si>
  <si>
    <t>Bought 1x [Hyrule Warriors] - AliExpress [3DS]</t>
  </si>
  <si>
    <t>Bought 1x [Paper Mario: The Thousand-Year Door] - AliExpress [3DS]</t>
  </si>
  <si>
    <t>Bought 1x [Super Smash Bros. Melee] - AliExpress [3DS]</t>
  </si>
  <si>
    <t>Bought 1x [Super Mario 64 DS] - AliExpress [3DS]</t>
  </si>
  <si>
    <t>Bought 1x [Donkey Kong Country Returns] - AliExpress [3DS]</t>
  </si>
  <si>
    <t>Bought 1x [Pokémon Blue] - AliExpress [3DS]</t>
  </si>
  <si>
    <t>Bought 1x [Super Mario 3D Land] - AliExpress [3DS]</t>
  </si>
  <si>
    <t>Bought 1x [Super Mario Maker] - AliExpress [3DS]</t>
  </si>
  <si>
    <t>Bought 1x [Pokémon Let's Go, Pikachu!] - AliExpress [3DS]</t>
  </si>
  <si>
    <t>Bought 1x [Splatoon 2] - AliExpress [3DS]</t>
  </si>
  <si>
    <t>Bought 1x [Animal Crossing: New Leaf] - AliExpress [3DS]</t>
  </si>
  <si>
    <t>Bought 1x [The Legend of Zelda: Phantom Hourglass] - AliExpress [3DS]</t>
  </si>
  <si>
    <t>Bought 1x [Metroid Dread] - AliExpress [3DS]</t>
  </si>
  <si>
    <t>Bought 1x [The Legend of Zelda: Minish Cap] - AliExpress [3DS]</t>
  </si>
  <si>
    <t>Bought 1x [Super Mario Party] - AliExpress [3DS]</t>
  </si>
  <si>
    <t>Bought 1x [Mario Golf: Super Rush] - AliExpress [3DS]</t>
  </si>
  <si>
    <t>Bought 1x [Super Mario Galaxy] - AliExpress [3DS]</t>
  </si>
  <si>
    <t>Bought 1x [Fire Emblem: Sacred Stones] - AliExpress [3DS]</t>
  </si>
  <si>
    <t>Bought 1x [Yoshi's Crafted World] - AliExpress [3DS]</t>
  </si>
  <si>
    <t>NOME DA NOTA</t>
  </si>
  <si>
    <t>CONSOLE</t>
  </si>
  <si>
    <t>NOME DO JOGO</t>
  </si>
  <si>
    <t>VERSÃO</t>
  </si>
  <si>
    <t>Pedidos que estão marcados com determinado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</si>
</sst>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[$$-409]#,##0.0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vertAlign val="superscript"/>
      <sz val="18"/>
      <color theme="9" tint="-0.249977111117893"/>
      <name val="Aptos Narrow"/>
      <family val="2"/>
      <scheme val="minor"/>
    </font>
    <font>
      <i/>
      <vertAlign val="superscript"/>
      <sz val="18"/>
      <color theme="2" tint="-0.749992370372631"/>
      <name val="Aptos Narrow"/>
      <family val="2"/>
      <scheme val="minor"/>
    </font>
    <font>
      <sz val="11"/>
      <color rgb="FF9C57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8B0A3"/>
        <bgColor indexed="64"/>
      </patternFill>
    </fill>
    <fill>
      <patternFill patternType="solid">
        <fgColor rgb="FF96FCA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EB9C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theme="1" tint="0.34998626667073579"/>
      </left>
      <right/>
      <top style="thin">
        <color theme="1" tint="0.34998626667073579"/>
      </top>
      <bottom/>
      <diagonal/>
    </border>
    <border>
      <left/>
      <right/>
      <top style="thin">
        <color theme="1" tint="0.34998626667073579"/>
      </top>
      <bottom/>
      <diagonal/>
    </border>
    <border>
      <left/>
      <right style="thin">
        <color theme="1" tint="0.34998626667073579"/>
      </right>
      <top style="thin">
        <color theme="1" tint="0.34998626667073579"/>
      </top>
      <bottom/>
      <diagonal/>
    </border>
    <border>
      <left style="thin">
        <color theme="1" tint="0.34998626667073579"/>
      </left>
      <right/>
      <top style="thin">
        <color theme="0" tint="-0.14996795556505021"/>
      </top>
      <bottom style="thin">
        <color theme="1" tint="0.34998626667073579"/>
      </bottom>
      <diagonal/>
    </border>
    <border>
      <left/>
      <right/>
      <top style="thin">
        <color theme="0" tint="-0.14996795556505021"/>
      </top>
      <bottom style="thin">
        <color theme="1" tint="0.34998626667073579"/>
      </bottom>
      <diagonal/>
    </border>
    <border>
      <left/>
      <right style="thin">
        <color theme="1" tint="0.34998626667073579"/>
      </right>
      <top style="thin">
        <color theme="0" tint="-0.14996795556505021"/>
      </top>
      <bottom style="thin">
        <color theme="1" tint="0.34998626667073579"/>
      </bottom>
      <diagonal/>
    </border>
    <border>
      <left/>
      <right/>
      <top/>
      <bottom style="thick">
        <color rgb="FF08B0A3"/>
      </bottom>
      <diagonal/>
    </border>
    <border>
      <left/>
      <right/>
      <top style="thin">
        <color theme="0" tint="-0.14996795556505021"/>
      </top>
      <bottom/>
      <diagonal/>
    </border>
    <border>
      <left style="thin">
        <color theme="1" tint="0.34998626667073579"/>
      </left>
      <right/>
      <top style="thin">
        <color theme="0" tint="-0.14996795556505021"/>
      </top>
      <bottom/>
      <diagonal/>
    </border>
    <border>
      <left/>
      <right style="thin">
        <color theme="1" tint="0.34998626667073579"/>
      </right>
      <top style="thin">
        <color theme="0" tint="-0.14996795556505021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6" fillId="6" borderId="0" applyNumberFormat="0" applyBorder="0" applyAlignment="0" applyProtection="0"/>
  </cellStyleXfs>
  <cellXfs count="28">
    <xf numFmtId="0" fontId="0" fillId="0" borderId="0" xfId="0"/>
    <xf numFmtId="0" fontId="0" fillId="2" borderId="0" xfId="0" applyFill="1"/>
    <xf numFmtId="0" fontId="3" fillId="2" borderId="2" xfId="0" applyFont="1" applyFill="1" applyBorder="1"/>
    <xf numFmtId="0" fontId="3" fillId="2" borderId="3" xfId="0" applyFont="1" applyFill="1" applyBorder="1"/>
    <xf numFmtId="0" fontId="3" fillId="2" borderId="4" xfId="0" applyFont="1" applyFill="1" applyBorder="1"/>
    <xf numFmtId="0" fontId="2" fillId="3" borderId="8" xfId="2" applyFill="1" applyBorder="1"/>
    <xf numFmtId="0" fontId="3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5" borderId="3" xfId="0" applyFont="1" applyFill="1" applyBorder="1"/>
    <xf numFmtId="0" fontId="0" fillId="0" borderId="10" xfId="0" applyBorder="1"/>
    <xf numFmtId="0" fontId="0" fillId="0" borderId="9" xfId="0" applyBorder="1"/>
    <xf numFmtId="164" fontId="0" fillId="0" borderId="9" xfId="0" applyNumberFormat="1" applyBorder="1"/>
    <xf numFmtId="14" fontId="0" fillId="0" borderId="9" xfId="1" applyNumberFormat="1" applyFont="1" applyFill="1" applyBorder="1"/>
    <xf numFmtId="0" fontId="0" fillId="0" borderId="11" xfId="0" applyBorder="1"/>
    <xf numFmtId="0" fontId="0" fillId="0" borderId="5" xfId="0" applyBorder="1"/>
    <xf numFmtId="0" fontId="0" fillId="0" borderId="6" xfId="0" applyBorder="1"/>
    <xf numFmtId="164" fontId="0" fillId="0" borderId="6" xfId="0" applyNumberFormat="1" applyBorder="1"/>
    <xf numFmtId="14" fontId="0" fillId="0" borderId="6" xfId="1" applyNumberFormat="1" applyFont="1" applyFill="1" applyBorder="1"/>
    <xf numFmtId="0" fontId="0" fillId="0" borderId="7" xfId="0" applyBorder="1"/>
    <xf numFmtId="0" fontId="4" fillId="4" borderId="0" xfId="0" applyFont="1" applyFill="1" applyAlignment="1">
      <alignment horizontal="left" vertical="top" wrapText="1" indent="10"/>
    </xf>
    <xf numFmtId="0" fontId="0" fillId="4" borderId="0" xfId="0" applyFill="1" applyAlignment="1">
      <alignment horizontal="left" vertical="top" indent="10"/>
    </xf>
    <xf numFmtId="0" fontId="0" fillId="0" borderId="0" xfId="0" applyAlignment="1">
      <alignment horizontal="left"/>
    </xf>
    <xf numFmtId="0" fontId="2" fillId="3" borderId="8" xfId="2" applyFill="1" applyBorder="1" applyAlignment="1">
      <alignment horizontal="left"/>
    </xf>
    <xf numFmtId="0" fontId="3" fillId="2" borderId="0" xfId="0" applyFont="1" applyFill="1" applyAlignment="1">
      <alignment horizontal="left"/>
    </xf>
    <xf numFmtId="0" fontId="2" fillId="3" borderId="8" xfId="2" applyFill="1" applyBorder="1" applyAlignment="1">
      <alignment horizontal="center"/>
    </xf>
    <xf numFmtId="0" fontId="0" fillId="2" borderId="0" xfId="0" applyFill="1" applyAlignment="1">
      <alignment horizontal="center"/>
    </xf>
    <xf numFmtId="0" fontId="3" fillId="2" borderId="0" xfId="0" applyFont="1" applyFill="1"/>
    <xf numFmtId="0" fontId="6" fillId="6" borderId="0" xfId="3"/>
  </cellXfs>
  <cellStyles count="4">
    <cellStyle name="Neutro" xfId="3" builtinId="28"/>
    <cellStyle name="Normal" xfId="0" builtinId="0"/>
    <cellStyle name="Título 1" xfId="2" builtinId="16"/>
    <cellStyle name="Vírgula" xfId="1" builtinId="3"/>
  </cellStyles>
  <dxfs count="0"/>
  <tableStyles count="0" defaultTableStyle="TableStyleMedium2" defaultPivotStyle="PivotStyleLight16"/>
  <colors>
    <mruColors>
      <color rgb="FF08B0A3"/>
      <color rgb="FF96FCA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188937</xdr:colOff>
      <xdr:row>0</xdr:row>
      <xdr:rowOff>85726</xdr:rowOff>
    </xdr:from>
    <xdr:to>
      <xdr:col>1</xdr:col>
      <xdr:colOff>659105</xdr:colOff>
      <xdr:row>0</xdr:row>
      <xdr:rowOff>733426</xdr:rowOff>
    </xdr:to>
    <xdr:pic>
      <xdr:nvPicPr>
        <xdr:cNvPr id="2" name="Imagem 1" descr="Nintendo switch logo White Icons – Free Download SVG, PNG, GIF">
          <a:extLst>
            <a:ext uri="{FF2B5EF4-FFF2-40B4-BE49-F238E27FC236}">
              <a16:creationId xmlns:a16="http://schemas.microsoft.com/office/drawing/2014/main" id="{B958711F-A3EC-41B5-9F55-7697CB31F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937" y="85726"/>
          <a:ext cx="660180" cy="647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0</xdr:colOff>
      <xdr:row>0</xdr:row>
      <xdr:rowOff>821055</xdr:rowOff>
    </xdr:from>
    <xdr:to>
      <xdr:col>1</xdr:col>
      <xdr:colOff>798156</xdr:colOff>
      <xdr:row>11</xdr:row>
      <xdr:rowOff>60960</xdr:rowOff>
    </xdr:to>
    <xdr:pic>
      <xdr:nvPicPr>
        <xdr:cNvPr id="3" name="Imagem 2" descr="The Legend Of Zelda: The Minish Cap The Legend Of Zelda: The Wind Waker The  Legend">
          <a:extLst>
            <a:ext uri="{FF2B5EF4-FFF2-40B4-BE49-F238E27FC236}">
              <a16:creationId xmlns:a16="http://schemas.microsoft.com/office/drawing/2014/main" id="{90636143-1002-2CC8-9EE6-6DB35691EE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4061" b="97293" l="10000" r="94756">
                      <a14:foregroundMark x1="40854" y1="41879" x2="40854" y2="26513"/>
                      <a14:foregroundMark x1="38293" y1="33599" x2="40000" y2="51194"/>
                      <a14:foregroundMark x1="34878" y1="74204" x2="32683" y2="97293"/>
                      <a14:foregroundMark x1="67927" y1="24204" x2="68780" y2="7245"/>
                      <a14:foregroundMark x1="68780" y1="7245" x2="72195" y2="4061"/>
                      <a14:backgroundMark x1="94878" y1="53503" x2="91463" y2="94427"/>
                      <a14:backgroundMark x1="91463" y1="94427" x2="91463" y2="94427"/>
                      <a14:backgroundMark x1="85854" y1="87022" x2="91951" y2="75637"/>
                      <a14:backgroundMark x1="91951" y1="79618" x2="88293" y2="98806"/>
                      <a14:backgroundMark x1="88293" y1="98806" x2="87683" y2="99841"/>
                      <a14:backgroundMark x1="87195" y1="94108" x2="82927" y2="74204"/>
                      <a14:backgroundMark x1="84634" y1="74204" x2="99268" y2="52389"/>
                      <a14:backgroundMark x1="86341" y1="73965" x2="88902" y2="97532"/>
                      <a14:backgroundMark x1="88902" y1="93869" x2="84634" y2="88694"/>
                      <a14:backgroundMark x1="79024" y1="92118" x2="89390" y2="94666"/>
                      <a14:backgroundMark x1="89756" y1="94666" x2="81585" y2="92675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21055"/>
          <a:ext cx="988656" cy="15106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1</xdr:col>
      <xdr:colOff>791063</xdr:colOff>
      <xdr:row>0</xdr:row>
      <xdr:rowOff>123825</xdr:rowOff>
    </xdr:from>
    <xdr:to>
      <xdr:col>3</xdr:col>
      <xdr:colOff>2746961</xdr:colOff>
      <xdr:row>0</xdr:row>
      <xdr:rowOff>723900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AFDB0AC3-54ED-6049-D6E6-274AF6E561D3}"/>
            </a:ext>
          </a:extLst>
        </xdr:cNvPr>
        <xdr:cNvSpPr/>
      </xdr:nvSpPr>
      <xdr:spPr>
        <a:xfrm>
          <a:off x="981075" y="123825"/>
          <a:ext cx="7553325" cy="6000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3200" b="1"/>
            <a:t>CONTROLE DE IMPORTAÇÕES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6350</xdr:colOff>
      <xdr:row>0</xdr:row>
      <xdr:rowOff>95250</xdr:rowOff>
    </xdr:from>
    <xdr:to>
      <xdr:col>1</xdr:col>
      <xdr:colOff>666530</xdr:colOff>
      <xdr:row>0</xdr:row>
      <xdr:rowOff>742950</xdr:rowOff>
    </xdr:to>
    <xdr:pic>
      <xdr:nvPicPr>
        <xdr:cNvPr id="3" name="Imagem 2" descr="Nintendo switch logo White Icons – Free Download SVG, PNG, GIF">
          <a:extLst>
            <a:ext uri="{FF2B5EF4-FFF2-40B4-BE49-F238E27FC236}">
              <a16:creationId xmlns:a16="http://schemas.microsoft.com/office/drawing/2014/main" id="{4D2AAD1A-71E9-45EC-AE6B-644AC3D42A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250"/>
          <a:ext cx="660180" cy="647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1A30C-16C1-40F1-BACE-7D5F59A67BDF}">
  <dimension ref="B1:N91"/>
  <sheetViews>
    <sheetView showGridLines="0" tabSelected="1" topLeftCell="A34" zoomScaleNormal="100" workbookViewId="0">
      <selection activeCell="C52" sqref="C52"/>
    </sheetView>
  </sheetViews>
  <sheetFormatPr defaultRowHeight="14.4" x14ac:dyDescent="0.3"/>
  <cols>
    <col min="1" max="1" width="2.77734375" customWidth="1"/>
    <col min="2" max="2" width="19.5546875" customWidth="1"/>
    <col min="3" max="3" width="60.109375" bestFit="1" customWidth="1"/>
    <col min="4" max="4" width="61.6640625" bestFit="1" customWidth="1"/>
    <col min="5" max="5" width="36.109375" style="7" bestFit="1" customWidth="1"/>
    <col min="6" max="6" width="14.6640625" style="7" bestFit="1" customWidth="1"/>
    <col min="7" max="7" width="10" bestFit="1" customWidth="1"/>
    <col min="8" max="8" width="11.44140625" bestFit="1" customWidth="1"/>
    <col min="9" max="9" width="7.88671875" bestFit="1" customWidth="1"/>
    <col min="10" max="10" width="11.6640625" bestFit="1" customWidth="1"/>
    <col min="11" max="11" width="61" bestFit="1" customWidth="1"/>
    <col min="12" max="12" width="14.6640625" bestFit="1" customWidth="1"/>
  </cols>
  <sheetData>
    <row r="1" spans="2:14" s="1" customFormat="1" ht="64.95" customHeight="1" x14ac:dyDescent="0.3">
      <c r="E1" s="25"/>
      <c r="F1" s="25"/>
    </row>
    <row r="4" spans="2:14" x14ac:dyDescent="0.3">
      <c r="B4" s="19" t="s">
        <v>179</v>
      </c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</row>
    <row r="5" spans="2:14" x14ac:dyDescent="0.3"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</row>
    <row r="6" spans="2:14" x14ac:dyDescent="0.3"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</row>
    <row r="7" spans="2:14" ht="10.5" customHeight="1" x14ac:dyDescent="0.3"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</row>
    <row r="8" spans="2:14" ht="8.5500000000000007" customHeight="1" x14ac:dyDescent="0.3"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</row>
    <row r="9" spans="2:14" ht="3" customHeight="1" x14ac:dyDescent="0.3"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</row>
    <row r="10" spans="2:14" ht="6" customHeight="1" x14ac:dyDescent="0.3"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</row>
    <row r="17" spans="2:14" ht="20.399999999999999" thickBot="1" x14ac:dyDescent="0.45">
      <c r="B17" s="5" t="s">
        <v>175</v>
      </c>
      <c r="C17" s="5"/>
      <c r="D17" s="5"/>
      <c r="E17" s="24"/>
      <c r="F17" s="24"/>
      <c r="G17" s="5"/>
      <c r="H17" s="5"/>
      <c r="I17" s="5"/>
      <c r="J17" s="5"/>
      <c r="K17" s="5"/>
      <c r="L17" s="5"/>
      <c r="M17" s="5"/>
      <c r="N17" s="5"/>
    </row>
    <row r="18" spans="2:14" ht="15" thickTop="1" x14ac:dyDescent="0.3"/>
    <row r="19" spans="2:14" x14ac:dyDescent="0.3">
      <c r="B19" s="6" t="s">
        <v>0</v>
      </c>
      <c r="C19" s="6" t="s">
        <v>265</v>
      </c>
      <c r="D19" s="6" t="s">
        <v>266</v>
      </c>
      <c r="E19" s="6" t="s">
        <v>267</v>
      </c>
      <c r="F19" s="6" t="s">
        <v>268</v>
      </c>
    </row>
    <row r="20" spans="2:14" x14ac:dyDescent="0.3">
      <c r="B20" s="7">
        <v>2828220648</v>
      </c>
      <c r="C20" s="21" t="str">
        <f>VLOOKUP(B20,PEDIDOS!$B$4:$L$104,MATCH("Product Name",PEDIDOS!$B$4:$L$4,0),FALSE)</f>
        <v>Bought 1x [Super Mario Odyssey] - AliExpress [NDS]</v>
      </c>
      <c r="D20" s="7" t="str">
        <f>SUBSTITUTE(SUBSTITUTE(RIGHT(C20,5),"[",""),"]","")</f>
        <v>NDS</v>
      </c>
      <c r="E20" s="7" t="str">
        <f>MID(C20,(FIND("[",C20)+1),((FIND("]",C20))-(FIND("[",C20)+1)))</f>
        <v>Super Mario Odyssey</v>
      </c>
      <c r="F20" s="7" t="str">
        <f>VLOOKUP(B20,PEDIDOS!$B:$L,MATCH("Version",PEDIDOS!$B$4:$L$4,0),FALSE)</f>
        <v>Normal [XP]</v>
      </c>
    </row>
    <row r="21" spans="2:14" x14ac:dyDescent="0.3">
      <c r="B21" s="7">
        <v>2593249747</v>
      </c>
      <c r="C21" s="21" t="str">
        <f>VLOOKUP(B21,PEDIDOS!$B$4:$L$104,MATCH("Product Name",PEDIDOS!$B$4:$L$4,0),FALSE)</f>
        <v>Bought 1x [Pokémon Moon] - AliExpress [NDS]</v>
      </c>
      <c r="D21" s="7" t="str">
        <f t="shared" ref="D21:D24" si="0">SUBSTITUTE(SUBSTITUTE(RIGHT(C21,5),"[",""),"]","")</f>
        <v>NDS</v>
      </c>
      <c r="E21" s="7" t="str">
        <f>MID(C21,(FIND("[",C21)+1),((FIND("]",C21))-(FIND("[",C21)+1)))</f>
        <v>Pokémon Moon</v>
      </c>
      <c r="F21" s="7" t="str">
        <f>VLOOKUP(B21,PEDIDOS!$B:$L,MATCH("Version",PEDIDOS!$B$4:$L$4,0),FALSE)</f>
        <v>Complete [DLX]</v>
      </c>
    </row>
    <row r="22" spans="2:14" x14ac:dyDescent="0.3">
      <c r="B22" s="7">
        <v>6055727313</v>
      </c>
      <c r="C22" s="21" t="str">
        <f>VLOOKUP(B22,PEDIDOS!$B$4:$L$104,MATCH("Product Name",PEDIDOS!$B$4:$L$4,0),FALSE)</f>
        <v>Bought 1x [Mega Man X] - AliExpress [NDS]</v>
      </c>
      <c r="D22" s="7" t="str">
        <f t="shared" si="0"/>
        <v>NDS</v>
      </c>
      <c r="E22" s="7" t="str">
        <f>MID(C22,(FIND("[",C22)+1),((FIND("]",C22))-(FIND("[",C22)+1)))</f>
        <v>Mega Man X</v>
      </c>
      <c r="F22" s="7" t="str">
        <f>VLOOKUP(B22,PEDIDOS!$B:$L,MATCH("Version",PEDIDOS!$B$4:$L$4,0),FALSE)</f>
        <v>Complete [XZ]!</v>
      </c>
    </row>
    <row r="23" spans="2:14" x14ac:dyDescent="0.3">
      <c r="B23" s="7">
        <v>2912430686</v>
      </c>
      <c r="C23" s="21" t="str">
        <f>VLOOKUP(B23,PEDIDOS!$B$4:$L$104,MATCH("Product Name",PEDIDOS!$B$4:$L$4,0),FALSE)</f>
        <v>Bought 1x [Super Mario 64 DS] - AliExpress [3DS]</v>
      </c>
      <c r="D23" s="7" t="str">
        <f t="shared" si="0"/>
        <v>3DS</v>
      </c>
      <c r="E23" s="7" t="str">
        <f>MID(C23,(FIND("[",C23)+1),((FIND("]",C23))-(FIND("[",C23)+1)))</f>
        <v>Super Mario 64 DS</v>
      </c>
      <c r="F23" s="7" t="str">
        <f>VLOOKUP(B23,PEDIDOS!$B:$L,MATCH("Version",PEDIDOS!$B$4:$L$4,0),FALSE)</f>
        <v>Complete [DLX]</v>
      </c>
    </row>
    <row r="24" spans="2:14" x14ac:dyDescent="0.3">
      <c r="B24" s="7">
        <v>9483853306</v>
      </c>
      <c r="C24" s="21" t="str">
        <f>VLOOKUP(B24,PEDIDOS!$B$4:$L$104,MATCH("Product Name",PEDIDOS!$B$4:$L$4,0),FALSE)</f>
        <v>Bought 1x [Super Mario Galaxy] - AliExpress [3DS]</v>
      </c>
      <c r="D24" s="7" t="str">
        <f t="shared" si="0"/>
        <v>3DS</v>
      </c>
      <c r="E24" s="7" t="str">
        <f>MID(C24,(FIND("[",C24)+1),((FIND("]",C24))-(FIND("[",C24)+1)))</f>
        <v>Super Mario Galaxy</v>
      </c>
      <c r="F24" s="7" t="str">
        <f>VLOOKUP(B24,PEDIDOS!$B:$L,MATCH("Version",PEDIDOS!$B$4:$L$4,0),FALSE)</f>
        <v>Complete [XZ]!</v>
      </c>
    </row>
    <row r="25" spans="2:14" x14ac:dyDescent="0.3">
      <c r="C25" s="21"/>
      <c r="D25" s="7"/>
    </row>
    <row r="26" spans="2:14" x14ac:dyDescent="0.3">
      <c r="C26" s="21"/>
      <c r="D26" s="7"/>
    </row>
    <row r="27" spans="2:14" ht="20.399999999999999" thickBot="1" x14ac:dyDescent="0.45">
      <c r="B27" s="5" t="s">
        <v>176</v>
      </c>
      <c r="C27" s="22"/>
      <c r="D27" s="24"/>
      <c r="E27" s="24"/>
      <c r="F27" s="24"/>
      <c r="G27" s="5"/>
      <c r="H27" s="5"/>
      <c r="I27" s="5"/>
      <c r="J27" s="5"/>
      <c r="K27" s="5"/>
      <c r="L27" s="5"/>
      <c r="M27" s="5"/>
      <c r="N27" s="5"/>
    </row>
    <row r="28" spans="2:14" ht="15" thickTop="1" x14ac:dyDescent="0.3">
      <c r="C28" s="21"/>
      <c r="D28" s="7"/>
    </row>
    <row r="29" spans="2:14" x14ac:dyDescent="0.3">
      <c r="B29" s="6" t="s">
        <v>0</v>
      </c>
      <c r="C29" s="23" t="s">
        <v>265</v>
      </c>
      <c r="D29" s="6" t="s">
        <v>266</v>
      </c>
      <c r="E29" s="6" t="s">
        <v>267</v>
      </c>
      <c r="F29" s="6" t="s">
        <v>268</v>
      </c>
    </row>
    <row r="30" spans="2:14" x14ac:dyDescent="0.3">
      <c r="B30" s="7">
        <v>3831998152</v>
      </c>
      <c r="C30" s="21" t="str">
        <f>VLOOKUP(B30,PEDIDOS!$B$4:$L$104,MATCH("Product Name",PEDIDOS!$B$4:$L$4,0),FALSE)</f>
        <v>Bought 1x [Paper Mario: The Thousand-Year Door] - AliExpress [NDS]</v>
      </c>
      <c r="D30" s="7" t="str">
        <f t="shared" ref="D30:D34" si="1">SUBSTITUTE(SUBSTITUTE(RIGHT(C30,5),"[",""),"]","")</f>
        <v>NDS</v>
      </c>
      <c r="E30" s="7" t="str">
        <f>MID(C30,(FIND("[",C30)+1),((FIND("]",C30))-(FIND("[",C30)+1)))</f>
        <v>Paper Mario: The Thousand-Year Door</v>
      </c>
      <c r="F30" s="7" t="str">
        <f>VLOOKUP(B30,PEDIDOS!$B:$L,MATCH("Version",PEDIDOS!$B$4:$L$4,0),FALSE)</f>
        <v>Normal [XP]</v>
      </c>
    </row>
    <row r="31" spans="2:14" x14ac:dyDescent="0.3">
      <c r="B31" s="7">
        <v>5561729620</v>
      </c>
      <c r="C31" s="21" t="str">
        <f>VLOOKUP(B31,PEDIDOS!$B$4:$L$104,MATCH("Product Name",PEDIDOS!$B$4:$L$4,0),FALSE)</f>
        <v>Bought 1x [Pokémon Red] - AliExpress [NDS]</v>
      </c>
      <c r="D31" s="7" t="str">
        <f t="shared" si="1"/>
        <v>NDS</v>
      </c>
      <c r="E31" s="7" t="str">
        <f>MID(C31,(FIND("[",C31)+1),((FIND("]",C31))-(FIND("[",C31)+1)))</f>
        <v>Pokémon Red</v>
      </c>
      <c r="F31" s="7" t="str">
        <f>VLOOKUP(B31,PEDIDOS!$B:$L,MATCH("Version",PEDIDOS!$B$4:$L$4,0),FALSE)</f>
        <v>Complete [DLX]</v>
      </c>
    </row>
    <row r="32" spans="2:14" x14ac:dyDescent="0.3">
      <c r="B32" s="7">
        <v>6864946536</v>
      </c>
      <c r="C32" s="21" t="str">
        <f>VLOOKUP(B32,PEDIDOS!$B$4:$L$104,MATCH("Product Name",PEDIDOS!$B$4:$L$4,0),FALSE)</f>
        <v>Bought 1x [New Super Mario Bros. U] - AliExpress [SWT]</v>
      </c>
      <c r="D32" s="7" t="str">
        <f t="shared" si="1"/>
        <v>SWT</v>
      </c>
      <c r="E32" s="7" t="str">
        <f>MID(C32,(FIND("[",C32)+1),((FIND("]",C32))-(FIND("[",C32)+1)))</f>
        <v>New Super Mario Bros. U</v>
      </c>
      <c r="F32" s="7" t="str">
        <f>VLOOKUP(B32,PEDIDOS!$B:$L,MATCH("Version",PEDIDOS!$B$4:$L$4,0),FALSE)</f>
        <v>Normal [V3]!</v>
      </c>
    </row>
    <row r="33" spans="2:14" x14ac:dyDescent="0.3">
      <c r="B33" s="7">
        <v>5415997812</v>
      </c>
      <c r="C33" s="21" t="str">
        <f>VLOOKUP(B33,PEDIDOS!$B$4:$L$104,MATCH("Product Name",PEDIDOS!$B$4:$L$4,0),FALSE)</f>
        <v>Bought 1x [Animal Crossing: New Leaf] - AliExpress [SWT]</v>
      </c>
      <c r="D33" s="7" t="str">
        <f t="shared" si="1"/>
        <v>SWT</v>
      </c>
      <c r="E33" s="7" t="str">
        <f>MID(C33,(FIND("[",C33)+1),((FIND("]",C33))-(FIND("[",C33)+1)))</f>
        <v>Animal Crossing: New Leaf</v>
      </c>
      <c r="F33" s="7" t="str">
        <f>VLOOKUP(B33,PEDIDOS!$B:$L,MATCH("Version",PEDIDOS!$B$4:$L$4,0),FALSE)</f>
        <v>Complete [DLX]</v>
      </c>
    </row>
    <row r="34" spans="2:14" x14ac:dyDescent="0.3">
      <c r="B34" s="7">
        <v>5074725258</v>
      </c>
      <c r="C34" s="21" t="str">
        <f>VLOOKUP(B34,PEDIDOS!$B$4:$L$104,MATCH("Product Name",PEDIDOS!$B$4:$L$4,0),FALSE)</f>
        <v>Bought 1x [The Legend of Zelda: A Link Between Worlds] - AliExpress [3DS]</v>
      </c>
      <c r="D34" s="7" t="str">
        <f t="shared" si="1"/>
        <v>3DS</v>
      </c>
      <c r="E34" s="7" t="str">
        <f>MID(C34,(FIND("[",C34)+1),((FIND("]",C34))-(FIND("[",C34)+1)))</f>
        <v>The Legend of Zelda: A Link Between Worlds</v>
      </c>
      <c r="F34" s="7" t="str">
        <f>VLOOKUP(B34,PEDIDOS!$B:$L,MATCH("Version",PEDIDOS!$B$4:$L$4,0),FALSE)</f>
        <v>Complete [DLC+]</v>
      </c>
    </row>
    <row r="35" spans="2:14" x14ac:dyDescent="0.3">
      <c r="C35" s="21"/>
      <c r="D35" s="7"/>
    </row>
    <row r="36" spans="2:14" ht="20.399999999999999" thickBot="1" x14ac:dyDescent="0.45">
      <c r="B36" s="5" t="s">
        <v>180</v>
      </c>
      <c r="C36" s="22"/>
      <c r="D36" s="24"/>
      <c r="E36" s="24"/>
      <c r="F36" s="24"/>
      <c r="G36" s="5"/>
      <c r="H36" s="5"/>
      <c r="I36" s="5"/>
      <c r="J36" s="5"/>
      <c r="K36" s="5"/>
      <c r="L36" s="5"/>
      <c r="M36" s="5"/>
      <c r="N36" s="5"/>
    </row>
    <row r="37" spans="2:14" ht="15" thickTop="1" x14ac:dyDescent="0.3">
      <c r="C37" s="21"/>
      <c r="D37" s="7"/>
    </row>
    <row r="38" spans="2:14" x14ac:dyDescent="0.3">
      <c r="B38" s="6" t="s">
        <v>0</v>
      </c>
      <c r="C38" s="23" t="s">
        <v>265</v>
      </c>
      <c r="D38" s="6" t="s">
        <v>266</v>
      </c>
      <c r="E38" s="6" t="s">
        <v>267</v>
      </c>
      <c r="F38" s="6" t="s">
        <v>268</v>
      </c>
    </row>
    <row r="39" spans="2:14" x14ac:dyDescent="0.3">
      <c r="B39" s="7">
        <v>4319579638</v>
      </c>
      <c r="C39" s="21" t="str">
        <f>VLOOKUP(B39,PEDIDOS!$B$4:$L$104,MATCH("Product Name",PEDIDOS!$B$4:$L$4,0),FALSE)</f>
        <v>Bought 1x [Pokémon Let's Go, Pikachu!] - AliExpress [SWT]</v>
      </c>
      <c r="D39" s="7" t="str">
        <f t="shared" ref="D39:D44" si="2">SUBSTITUTE(SUBSTITUTE(RIGHT(C39,5),"[",""),"]","")</f>
        <v>SWT</v>
      </c>
      <c r="E39" s="7" t="str">
        <f>MID(C39,(FIND("[",C39)+1),((FIND("]",C39))-(FIND("[",C39)+1)))</f>
        <v>Pokémon Let's Go, Pikachu!</v>
      </c>
      <c r="F39" s="7" t="str">
        <f>VLOOKUP(B39,PEDIDOS!$B:$L,MATCH("Version",PEDIDOS!$B$4:$L$4,0),FALSE)</f>
        <v>Complete [DLX]</v>
      </c>
    </row>
    <row r="40" spans="2:14" x14ac:dyDescent="0.3">
      <c r="B40" s="7">
        <v>2533510230</v>
      </c>
      <c r="C40" s="21" t="str">
        <f>VLOOKUP(B40,PEDIDOS!$B$4:$L$104,MATCH("Product Name",PEDIDOS!$B$4:$L$4,0),FALSE)</f>
        <v>Bought 1x [Yoshi's Crafted World] - AliExpress [SWT]</v>
      </c>
      <c r="D40" s="7" t="str">
        <f t="shared" si="2"/>
        <v>SWT</v>
      </c>
      <c r="E40" s="7" t="str">
        <f>MID(C40,(FIND("[",C40)+1),((FIND("]",C40))-(FIND("[",C40)+1)))</f>
        <v>Yoshi's Crafted World</v>
      </c>
      <c r="F40" s="7" t="str">
        <f>VLOOKUP(B40,PEDIDOS!$B:$L,MATCH("Version",PEDIDOS!$B$4:$L$4,0),FALSE)</f>
        <v>Complete [DLC+]</v>
      </c>
    </row>
    <row r="41" spans="2:14" x14ac:dyDescent="0.3">
      <c r="B41" s="7">
        <v>3044929118</v>
      </c>
      <c r="C41" s="21" t="str">
        <f>VLOOKUP(B41,PEDIDOS!$B$4:$L$104,MATCH("Product Name",PEDIDOS!$B$4:$L$4,0),FALSE)</f>
        <v>Bought 1x [Luigi's Mansion] - AliExpress [NDS]</v>
      </c>
      <c r="D41" s="7" t="str">
        <f t="shared" si="2"/>
        <v>NDS</v>
      </c>
      <c r="E41" s="7" t="str">
        <f>MID(C41,(FIND("[",C41)+1),((FIND("]",C41))-(FIND("[",C41)+1)))</f>
        <v>Luigi's Mansion</v>
      </c>
      <c r="F41" s="7" t="str">
        <f>VLOOKUP(B41,PEDIDOS!$B:$L,MATCH("Version",PEDIDOS!$B$4:$L$4,0),FALSE)</f>
        <v>Normal [V3]!</v>
      </c>
    </row>
    <row r="42" spans="2:14" x14ac:dyDescent="0.3">
      <c r="B42" s="7">
        <v>7595400160</v>
      </c>
      <c r="C42" s="21" t="str">
        <f>VLOOKUP(B42,PEDIDOS!$B$4:$L$104,MATCH("Product Name",PEDIDOS!$B$4:$L$4,0),FALSE)</f>
        <v>Bought 1x [Fire Emblem: Sacred Stones] - AliExpress [3DS]</v>
      </c>
      <c r="D42" s="7" t="str">
        <f t="shared" si="2"/>
        <v>3DS</v>
      </c>
      <c r="E42" s="7" t="str">
        <f>MID(C42,(FIND("[",C42)+1),((FIND("]",C42))-(FIND("[",C42)+1)))</f>
        <v>Fire Emblem: Sacred Stones</v>
      </c>
      <c r="F42" s="7" t="str">
        <f>VLOOKUP(B42,PEDIDOS!$B:$L,MATCH("Version",PEDIDOS!$B$4:$L$4,0),FALSE)</f>
        <v>Complete [DLX]</v>
      </c>
    </row>
    <row r="43" spans="2:14" x14ac:dyDescent="0.3">
      <c r="B43" s="7">
        <v>3129537165</v>
      </c>
      <c r="C43" s="21" t="str">
        <f>VLOOKUP(B43,PEDIDOS!$B$4:$L$104,MATCH("Product Name",PEDIDOS!$B$4:$L$4,0),FALSE)</f>
        <v>Bought 1x [Yoshi's Crafted World] - AliExpress [3DS]</v>
      </c>
      <c r="D43" s="7" t="str">
        <f t="shared" si="2"/>
        <v>3DS</v>
      </c>
      <c r="E43" s="7" t="str">
        <f>MID(C43,(FIND("[",C43)+1),((FIND("]",C43))-(FIND("[",C43)+1)))</f>
        <v>Yoshi's Crafted World</v>
      </c>
      <c r="F43" s="7" t="str">
        <f>VLOOKUP(B43,PEDIDOS!$B:$L,MATCH("Version",PEDIDOS!$B$4:$L$4,0),FALSE)</f>
        <v>Complete [XZ]!</v>
      </c>
    </row>
    <row r="44" spans="2:14" x14ac:dyDescent="0.3">
      <c r="B44" s="7">
        <v>8509378705</v>
      </c>
      <c r="C44" s="21" t="str">
        <f>VLOOKUP(B44,PEDIDOS!$B$4:$L$104,MATCH("Product Name",PEDIDOS!$B$4:$L$4,0),FALSE)</f>
        <v>Bought 1x [Pokémon Sun] - AliExpress [SWT]</v>
      </c>
      <c r="D44" s="7" t="str">
        <f t="shared" si="2"/>
        <v>SWT</v>
      </c>
      <c r="E44" s="7" t="str">
        <f>MID(C44,(FIND("[",C44)+1),((FIND("]",C44))-(FIND("[",C44)+1)))</f>
        <v>Pokémon Sun</v>
      </c>
      <c r="F44" s="7" t="str">
        <f>VLOOKUP(B44,PEDIDOS!$B:$L,MATCH("Version",PEDIDOS!$B$4:$L$4,0),FALSE)</f>
        <v>Complete [DLC+]</v>
      </c>
    </row>
    <row r="47" spans="2:14" ht="20.399999999999999" thickBot="1" x14ac:dyDescent="0.45">
      <c r="B47" s="5" t="s">
        <v>269</v>
      </c>
      <c r="C47" s="5"/>
      <c r="D47" s="5"/>
      <c r="E47" s="24"/>
      <c r="F47" s="24"/>
      <c r="G47" s="5"/>
      <c r="H47" s="5"/>
      <c r="I47" s="5"/>
      <c r="J47" s="5"/>
      <c r="K47" s="5"/>
      <c r="L47" s="5"/>
      <c r="M47" s="5"/>
      <c r="N47" s="5"/>
    </row>
    <row r="48" spans="2:14" ht="15" thickTop="1" x14ac:dyDescent="0.3"/>
    <row r="49" spans="2:12" x14ac:dyDescent="0.3">
      <c r="B49" s="27" t="s">
        <v>10</v>
      </c>
    </row>
    <row r="50" spans="2:12" x14ac:dyDescent="0.3">
      <c r="B50" s="2" t="s">
        <v>0</v>
      </c>
      <c r="C50" s="3" t="s">
        <v>1</v>
      </c>
      <c r="D50" s="3" t="s">
        <v>177</v>
      </c>
      <c r="E50" s="3" t="s">
        <v>2</v>
      </c>
      <c r="F50" s="3" t="s">
        <v>3</v>
      </c>
      <c r="G50" s="3" t="s">
        <v>4</v>
      </c>
      <c r="H50" s="8" t="s">
        <v>5</v>
      </c>
      <c r="I50" s="3" t="s">
        <v>6</v>
      </c>
      <c r="J50" s="3" t="s">
        <v>7</v>
      </c>
      <c r="K50" s="3" t="s">
        <v>8</v>
      </c>
      <c r="L50" s="4" t="s">
        <v>178</v>
      </c>
    </row>
    <row r="51" spans="2:12" x14ac:dyDescent="0.3">
      <c r="B51" cm="1">
        <f t="array" ref="B51:L91">_xlfn._xlws.FILTER(PEDIDOS!$B:$L,PEDIDOS!$H:$H=Rastreio!B49)</f>
        <v>2710393603</v>
      </c>
      <c r="C51" t="str">
        <v>FQYJB7WVX1BA</v>
      </c>
      <c r="D51" t="str">
        <v>Bought 1x [Pokémon SoulSilver] - AliExpress [SWT]</v>
      </c>
      <c r="E51" s="7">
        <v>1</v>
      </c>
      <c r="F51" s="7">
        <v>42.5</v>
      </c>
      <c r="G51">
        <v>45774</v>
      </c>
      <c r="H51" t="str">
        <v>Shipped</v>
      </c>
      <c r="I51">
        <v>35</v>
      </c>
      <c r="J51">
        <v>26</v>
      </c>
      <c r="K51" t="str">
        <v>Game: Pokémon SoulSilver. A must-play for fans!</v>
      </c>
      <c r="L51" t="str">
        <v>Normal [XP]</v>
      </c>
    </row>
    <row r="52" spans="2:12" x14ac:dyDescent="0.3">
      <c r="B52">
        <v>5088223175</v>
      </c>
      <c r="C52" t="str">
        <v>K9V2ZOC8O311</v>
      </c>
      <c r="D52" t="str">
        <v>Bought 1x [Pokémon Let's Go, Eevee!] - AliExpress [SWT]</v>
      </c>
      <c r="E52" s="7">
        <v>1</v>
      </c>
      <c r="F52" s="7">
        <v>57.9</v>
      </c>
      <c r="G52">
        <v>45773</v>
      </c>
      <c r="H52" t="str">
        <v>Shipped</v>
      </c>
      <c r="I52">
        <v>37</v>
      </c>
      <c r="J52">
        <v>16</v>
      </c>
      <c r="K52" t="str">
        <v>Game: Pokémon Let's Go, Eevee!. A must-play for fans!</v>
      </c>
      <c r="L52" t="str">
        <v>Complete [XZ]!</v>
      </c>
    </row>
    <row r="53" spans="2:12" x14ac:dyDescent="0.3">
      <c r="B53">
        <v>7417909614</v>
      </c>
      <c r="C53" t="str">
        <v>3OAI38M9Y64J</v>
      </c>
      <c r="D53" t="str">
        <v>Bought 1x [The Legend of Zelda: Twilight Princess] - AliExpress [SWT]</v>
      </c>
      <c r="E53" s="7">
        <v>1</v>
      </c>
      <c r="F53" s="7">
        <v>34.799999999999997</v>
      </c>
      <c r="G53">
        <v>45765</v>
      </c>
      <c r="H53" t="str">
        <v>Shipped</v>
      </c>
      <c r="I53">
        <v>87</v>
      </c>
      <c r="J53">
        <v>23</v>
      </c>
      <c r="K53" t="str">
        <v>Game: The Legend of Zelda: Twilight Princess. A must-play for fans!</v>
      </c>
      <c r="L53" t="str">
        <v>Complete [DLX]</v>
      </c>
    </row>
    <row r="54" spans="2:12" x14ac:dyDescent="0.3">
      <c r="B54">
        <v>6443460666</v>
      </c>
      <c r="C54" t="str">
        <v>Z10RJ2U971AA</v>
      </c>
      <c r="D54" t="str">
        <v>Bought 1x [Donkey Kong Country Returns] - AliExpress [SWT]</v>
      </c>
      <c r="E54" s="7">
        <v>1</v>
      </c>
      <c r="F54" s="7">
        <v>36.299999999999997</v>
      </c>
      <c r="G54">
        <v>45764</v>
      </c>
      <c r="H54" t="str">
        <v>Shipped</v>
      </c>
      <c r="I54">
        <v>93</v>
      </c>
      <c r="J54">
        <v>14</v>
      </c>
      <c r="K54" t="str">
        <v>Game: Donkey Kong Country Returns. A must-play for fans!</v>
      </c>
      <c r="L54" t="str">
        <v>Normal [V3]!</v>
      </c>
    </row>
    <row r="55" spans="2:12" x14ac:dyDescent="0.3">
      <c r="B55">
        <v>8282480555</v>
      </c>
      <c r="C55" t="str">
        <v>VAFVXPU4P6WN</v>
      </c>
      <c r="D55" t="str">
        <v>Bought 1x [Metroid Dread] - AliExpress [NDS]</v>
      </c>
      <c r="E55" s="7">
        <v>1</v>
      </c>
      <c r="F55" s="7">
        <v>17.899999999999999</v>
      </c>
      <c r="G55">
        <v>45771</v>
      </c>
      <c r="H55" t="str">
        <v>Shipped</v>
      </c>
      <c r="I55">
        <v>28</v>
      </c>
      <c r="J55">
        <v>18</v>
      </c>
      <c r="K55" t="str">
        <v>Game: Metroid Dread. A must-play for fans!</v>
      </c>
      <c r="L55" t="str">
        <v>Complete [XZ]!</v>
      </c>
    </row>
    <row r="56" spans="2:12" x14ac:dyDescent="0.3">
      <c r="B56">
        <v>1886589634</v>
      </c>
      <c r="C56" t="str">
        <v>1RRJR0ZKIS6I</v>
      </c>
      <c r="D56" t="str">
        <v>Bought 1x [Luigi's Mansion] - AliExpress [SWT]</v>
      </c>
      <c r="E56" s="7">
        <v>1</v>
      </c>
      <c r="F56" s="7">
        <v>25.9</v>
      </c>
      <c r="G56">
        <v>45762</v>
      </c>
      <c r="H56" t="str">
        <v>Shipped</v>
      </c>
      <c r="I56">
        <v>63</v>
      </c>
      <c r="J56">
        <v>11</v>
      </c>
      <c r="K56" t="str">
        <v>Game: Luigi's Mansion. A must-play for fans!</v>
      </c>
      <c r="L56" t="str">
        <v>Normal [V3]!</v>
      </c>
    </row>
    <row r="57" spans="2:12" x14ac:dyDescent="0.3">
      <c r="B57">
        <v>7644402612</v>
      </c>
      <c r="C57" t="str">
        <v>25BGKYQZDQFM</v>
      </c>
      <c r="D57" t="str">
        <v>Bought 1x [Mario Kart 8 Deluxe] - AliExpress [SWT]</v>
      </c>
      <c r="E57" s="7">
        <v>1</v>
      </c>
      <c r="F57" s="7">
        <v>42.4</v>
      </c>
      <c r="G57">
        <v>45760</v>
      </c>
      <c r="H57" t="str">
        <v>Shipped</v>
      </c>
      <c r="I57">
        <v>72</v>
      </c>
      <c r="J57">
        <v>11</v>
      </c>
      <c r="K57" t="str">
        <v>Game: Mario Kart 8 Deluxe. A must-play for fans!</v>
      </c>
      <c r="L57" t="str">
        <v>Normal [XP]</v>
      </c>
    </row>
    <row r="58" spans="2:12" x14ac:dyDescent="0.3">
      <c r="B58">
        <v>2712992845</v>
      </c>
      <c r="C58" t="str">
        <v>23F0OV43Q8H8</v>
      </c>
      <c r="D58" t="str">
        <v>Bought 1x [Fire Emblem: Sacred Stones] - AliExpress [SWT]</v>
      </c>
      <c r="E58" s="7">
        <v>1</v>
      </c>
      <c r="F58" s="7">
        <v>54.1</v>
      </c>
      <c r="G58">
        <v>45770</v>
      </c>
      <c r="H58" t="str">
        <v>Shipped</v>
      </c>
      <c r="I58">
        <v>91</v>
      </c>
      <c r="J58">
        <v>23</v>
      </c>
      <c r="K58" t="str">
        <v>Game: Fire Emblem: Sacred Stones. A must-play for fans!</v>
      </c>
      <c r="L58" t="str">
        <v>Complete [DLX]</v>
      </c>
    </row>
    <row r="59" spans="2:12" x14ac:dyDescent="0.3">
      <c r="B59">
        <v>3831998152</v>
      </c>
      <c r="C59" t="str">
        <v>R3LBB8CCACNU</v>
      </c>
      <c r="D59" t="str">
        <v>Bought 1x [Paper Mario: The Thousand-Year Door] - AliExpress [NDS]</v>
      </c>
      <c r="E59" s="7">
        <v>1</v>
      </c>
      <c r="F59" s="7">
        <v>15</v>
      </c>
      <c r="G59">
        <v>45763</v>
      </c>
      <c r="H59" t="str">
        <v>Shipped</v>
      </c>
      <c r="I59">
        <v>59</v>
      </c>
      <c r="J59">
        <v>25</v>
      </c>
      <c r="K59" t="str">
        <v>Game: Paper Mario: The Thousand-Year Door. A must-play for fans!</v>
      </c>
      <c r="L59" t="str">
        <v>Normal [XP]</v>
      </c>
    </row>
    <row r="60" spans="2:12" x14ac:dyDescent="0.3">
      <c r="B60">
        <v>5074725258</v>
      </c>
      <c r="C60" t="str">
        <v>IBDYTUO8B5WV</v>
      </c>
      <c r="D60" t="str">
        <v>Bought 1x [The Legend of Zelda: A Link Between Worlds] - AliExpress [3DS]</v>
      </c>
      <c r="E60" s="7">
        <v>1</v>
      </c>
      <c r="F60" s="7">
        <v>40.5</v>
      </c>
      <c r="G60">
        <v>45776</v>
      </c>
      <c r="H60" t="str">
        <v>Shipped</v>
      </c>
      <c r="I60">
        <v>70</v>
      </c>
      <c r="J60">
        <v>16</v>
      </c>
      <c r="K60" t="str">
        <v>Game: The Legend of Zelda: A Link Between Worlds. A must-play for fans!</v>
      </c>
      <c r="L60" t="str">
        <v>Complete [DLC+]</v>
      </c>
    </row>
    <row r="61" spans="2:12" x14ac:dyDescent="0.3">
      <c r="B61">
        <v>3790147896</v>
      </c>
      <c r="C61" t="str">
        <v>4U1XNGSK6N6M</v>
      </c>
      <c r="D61" t="str">
        <v>Bought 1x [The Legend of Zelda: A Link to the Past] - AliExpress [NDS]</v>
      </c>
      <c r="E61" s="7">
        <v>1</v>
      </c>
      <c r="F61" s="7">
        <v>10.3</v>
      </c>
      <c r="G61">
        <v>45765</v>
      </c>
      <c r="H61" t="str">
        <v>Shipped</v>
      </c>
      <c r="I61">
        <v>86</v>
      </c>
      <c r="J61">
        <v>22</v>
      </c>
      <c r="K61" t="str">
        <v>Game: The Legend of Zelda: A Link to the Past. A must-play for fans!</v>
      </c>
      <c r="L61" t="str">
        <v>Complete [DLC+]</v>
      </c>
    </row>
    <row r="62" spans="2:12" x14ac:dyDescent="0.3">
      <c r="B62">
        <v>2782438837</v>
      </c>
      <c r="C62" t="str">
        <v>R6JKWBGVHSKJ</v>
      </c>
      <c r="D62" t="str">
        <v>Bought 1x [Super Smash Bros. Ultimate] - AliExpress [3DS]</v>
      </c>
      <c r="E62" s="7">
        <v>1</v>
      </c>
      <c r="F62" s="7">
        <v>20.8</v>
      </c>
      <c r="G62">
        <v>45770</v>
      </c>
      <c r="H62" t="str">
        <v>Shipped</v>
      </c>
      <c r="I62">
        <v>68</v>
      </c>
      <c r="J62">
        <v>15</v>
      </c>
      <c r="K62" t="str">
        <v>Game: Super Smash Bros. Ultimate. A must-play for fans!</v>
      </c>
      <c r="L62" t="str">
        <v>Complete [DLX]</v>
      </c>
    </row>
    <row r="63" spans="2:12" x14ac:dyDescent="0.3">
      <c r="B63">
        <v>5100939764</v>
      </c>
      <c r="C63" t="str">
        <v>J7GZGHTV5NL4</v>
      </c>
      <c r="D63" t="str">
        <v>Bought 1x [Super Mario All-Stars] - AliExpress [NDS]</v>
      </c>
      <c r="E63" s="7">
        <v>1</v>
      </c>
      <c r="F63" s="7">
        <v>37.200000000000003</v>
      </c>
      <c r="G63">
        <v>45775</v>
      </c>
      <c r="H63" t="str">
        <v>Shipped</v>
      </c>
      <c r="I63">
        <v>41</v>
      </c>
      <c r="J63">
        <v>15</v>
      </c>
      <c r="K63" t="str">
        <v>Game: Super Mario All-Stars. A must-play for fans!</v>
      </c>
      <c r="L63" t="str">
        <v>Normal [V3]!</v>
      </c>
    </row>
    <row r="64" spans="2:12" x14ac:dyDescent="0.3">
      <c r="B64">
        <v>3865026554</v>
      </c>
      <c r="C64" t="str">
        <v>3MERXK2C7ERV</v>
      </c>
      <c r="D64" t="str">
        <v>Bought 1x [Mega Man X] - AliExpress [3DS]</v>
      </c>
      <c r="E64" s="7">
        <v>1</v>
      </c>
      <c r="F64" s="7">
        <v>39.1</v>
      </c>
      <c r="G64">
        <v>45774</v>
      </c>
      <c r="H64" t="str">
        <v>Shipped</v>
      </c>
      <c r="I64">
        <v>39</v>
      </c>
      <c r="J64">
        <v>23</v>
      </c>
      <c r="K64" t="str">
        <v>Game: Mega Man X. A must-play for fans!</v>
      </c>
      <c r="L64" t="str">
        <v>Complete [DLC+]</v>
      </c>
    </row>
    <row r="65" spans="2:12" x14ac:dyDescent="0.3">
      <c r="B65">
        <v>9182299911</v>
      </c>
      <c r="C65" t="str">
        <v>CPSIL1RNJ8TU</v>
      </c>
      <c r="D65" t="str">
        <v>Bought 1x [The Legend of Zelda: Minish Cap] - AliExpress [SWT]</v>
      </c>
      <c r="E65" s="7">
        <v>1</v>
      </c>
      <c r="F65" s="7">
        <v>10.8</v>
      </c>
      <c r="G65">
        <v>45760</v>
      </c>
      <c r="H65" t="str">
        <v>Shipped</v>
      </c>
      <c r="I65">
        <v>85</v>
      </c>
      <c r="J65">
        <v>11</v>
      </c>
      <c r="K65" t="str">
        <v>Game: The Legend of Zelda: Minish Cap. A must-play for fans!</v>
      </c>
      <c r="L65" t="str">
        <v>Complete [DLC+]</v>
      </c>
    </row>
    <row r="66" spans="2:12" x14ac:dyDescent="0.3">
      <c r="B66">
        <v>2974000959</v>
      </c>
      <c r="C66" t="str">
        <v>O7YRXF19E7VN</v>
      </c>
      <c r="D66" t="str">
        <v>Bought 1x [Mario Kart 8 Deluxe] - AliExpress [NDS]</v>
      </c>
      <c r="E66" s="7">
        <v>1</v>
      </c>
      <c r="F66" s="7">
        <v>58.8</v>
      </c>
      <c r="G66">
        <v>45771</v>
      </c>
      <c r="H66" t="str">
        <v>Shipped</v>
      </c>
      <c r="I66">
        <v>54</v>
      </c>
      <c r="J66">
        <v>14</v>
      </c>
      <c r="K66" t="str">
        <v>Game: Mario Kart 8 Deluxe. A must-play for fans!</v>
      </c>
      <c r="L66" t="str">
        <v>Normal [V3]!</v>
      </c>
    </row>
    <row r="67" spans="2:12" x14ac:dyDescent="0.3">
      <c r="B67">
        <v>2957930075</v>
      </c>
      <c r="C67" t="str">
        <v>HEDWCPP7LTQ4</v>
      </c>
      <c r="D67" t="str">
        <v>Bought 1x [Pokémon HeartGold] - AliExpress [NDS]</v>
      </c>
      <c r="E67" s="7">
        <v>1</v>
      </c>
      <c r="F67" s="7">
        <v>44.7</v>
      </c>
      <c r="G67">
        <v>45769</v>
      </c>
      <c r="H67" t="str">
        <v>Shipped</v>
      </c>
      <c r="I67">
        <v>100</v>
      </c>
      <c r="J67">
        <v>16</v>
      </c>
      <c r="K67" t="str">
        <v>Game: Pokémon HeartGold. A must-play for fans!</v>
      </c>
      <c r="L67" t="str">
        <v>Complete [DLC+]</v>
      </c>
    </row>
    <row r="68" spans="2:12" x14ac:dyDescent="0.3">
      <c r="B68">
        <v>9913332762</v>
      </c>
      <c r="C68" t="str">
        <v>535IZVQ7TSLJ</v>
      </c>
      <c r="D68" t="str">
        <v>Bought 1x [Paper Mario: The Thousand-Year Door] - AliExpress [3DS]</v>
      </c>
      <c r="E68" s="7">
        <v>1</v>
      </c>
      <c r="F68" s="7">
        <v>38.299999999999997</v>
      </c>
      <c r="G68">
        <v>45761</v>
      </c>
      <c r="H68" t="str">
        <v>Shipped</v>
      </c>
      <c r="I68">
        <v>56</v>
      </c>
      <c r="J68">
        <v>17</v>
      </c>
      <c r="K68" t="str">
        <v>Game: Paper Mario: The Thousand-Year Door. A must-play for fans!</v>
      </c>
      <c r="L68" t="str">
        <v>Normal [V3]!</v>
      </c>
    </row>
    <row r="69" spans="2:12" x14ac:dyDescent="0.3">
      <c r="B69">
        <v>1136694112</v>
      </c>
      <c r="C69" t="str">
        <v>S8IETMTNN25S</v>
      </c>
      <c r="D69" t="str">
        <v>Bought 1x [Super Smash Bros. Melee] - AliExpress [3DS]</v>
      </c>
      <c r="E69" s="7">
        <v>1</v>
      </c>
      <c r="F69" s="7">
        <v>16.600000000000001</v>
      </c>
      <c r="G69">
        <v>45760</v>
      </c>
      <c r="H69" t="str">
        <v>Shipped</v>
      </c>
      <c r="I69">
        <v>83</v>
      </c>
      <c r="J69">
        <v>19</v>
      </c>
      <c r="K69" t="str">
        <v>Game: Super Smash Bros. Melee. A must-play for fans!</v>
      </c>
      <c r="L69" t="str">
        <v>Complete [DLC+]</v>
      </c>
    </row>
    <row r="70" spans="2:12" x14ac:dyDescent="0.3">
      <c r="B70">
        <v>4084853064</v>
      </c>
      <c r="C70" t="str">
        <v>DML313XSBU9K</v>
      </c>
      <c r="D70" t="str">
        <v>Bought 1x [Super Mario 64 DS] - AliExpress [3DS]</v>
      </c>
      <c r="E70" s="7">
        <v>1</v>
      </c>
      <c r="F70" s="7">
        <v>32.6</v>
      </c>
      <c r="G70">
        <v>45764</v>
      </c>
      <c r="H70" t="str">
        <v>Shipped</v>
      </c>
      <c r="I70">
        <v>29</v>
      </c>
      <c r="J70">
        <v>24</v>
      </c>
      <c r="K70" t="str">
        <v>Game: Super Mario 64 DS. A must-play for fans!</v>
      </c>
      <c r="L70" t="str">
        <v>Complete [DLC+]</v>
      </c>
    </row>
    <row r="71" spans="2:12" x14ac:dyDescent="0.3">
      <c r="B71">
        <v>4801232720</v>
      </c>
      <c r="C71" t="str">
        <v>JA8IN5Q1OF2E</v>
      </c>
      <c r="D71" t="str">
        <v>Bought 1x [Mario Kart DS] - AliExpress [SWT]</v>
      </c>
      <c r="E71" s="7">
        <v>1</v>
      </c>
      <c r="F71" s="7">
        <v>48.4</v>
      </c>
      <c r="G71">
        <v>45765</v>
      </c>
      <c r="H71" t="str">
        <v>Shipped</v>
      </c>
      <c r="I71">
        <v>43</v>
      </c>
      <c r="J71">
        <v>26</v>
      </c>
      <c r="K71" t="str">
        <v>Game: Mario Kart DS. A must-play for fans!</v>
      </c>
      <c r="L71" t="str">
        <v>Complete [XZ]!</v>
      </c>
    </row>
    <row r="72" spans="2:12" x14ac:dyDescent="0.3">
      <c r="B72">
        <v>5803473331</v>
      </c>
      <c r="C72" t="str">
        <v>MQ21YVK7YX62</v>
      </c>
      <c r="D72" t="str">
        <v>Bought 1x [Tetris DS] - AliExpress [SWT]</v>
      </c>
      <c r="E72" s="7">
        <v>1</v>
      </c>
      <c r="F72" s="7">
        <v>58.3</v>
      </c>
      <c r="G72">
        <v>45761</v>
      </c>
      <c r="H72" t="str">
        <v>Shipped</v>
      </c>
      <c r="I72">
        <v>90</v>
      </c>
      <c r="J72">
        <v>14</v>
      </c>
      <c r="K72" t="str">
        <v>Game: Tetris DS. A must-play for fans!</v>
      </c>
      <c r="L72" t="str">
        <v>Complete [XZ]!</v>
      </c>
    </row>
    <row r="73" spans="2:12" x14ac:dyDescent="0.3">
      <c r="B73">
        <v>2832761200</v>
      </c>
      <c r="C73" t="str">
        <v>FYQZP1OZ46AA</v>
      </c>
      <c r="D73" t="str">
        <v>Bought 1x [Super Mario Odyssey] - AliExpress [NDS]</v>
      </c>
      <c r="E73" s="7">
        <v>1</v>
      </c>
      <c r="F73" s="7">
        <v>41.5</v>
      </c>
      <c r="G73">
        <v>45774</v>
      </c>
      <c r="H73" t="str">
        <v>Shipped</v>
      </c>
      <c r="I73">
        <v>87</v>
      </c>
      <c r="J73">
        <v>23</v>
      </c>
      <c r="K73" t="str">
        <v>Game: Super Mario Odyssey. A must-play for fans!</v>
      </c>
      <c r="L73" t="str">
        <v>Normal [XP]</v>
      </c>
    </row>
    <row r="74" spans="2:12" x14ac:dyDescent="0.3">
      <c r="B74">
        <v>8627113815</v>
      </c>
      <c r="C74" t="str">
        <v>Z8SUAV7W0WNL</v>
      </c>
      <c r="D74" t="str">
        <v>Bought 1x [Super Mario Maker] - AliExpress [3DS]</v>
      </c>
      <c r="E74" s="7">
        <v>1</v>
      </c>
      <c r="F74" s="7">
        <v>17.5</v>
      </c>
      <c r="G74">
        <v>45774</v>
      </c>
      <c r="H74" t="str">
        <v>Shipped</v>
      </c>
      <c r="I74">
        <v>27</v>
      </c>
      <c r="J74">
        <v>30</v>
      </c>
      <c r="K74" t="str">
        <v>Game: Super Mario Maker. A must-play for fans!</v>
      </c>
      <c r="L74" t="str">
        <v>Complete [XZ]!</v>
      </c>
    </row>
    <row r="75" spans="2:12" x14ac:dyDescent="0.3">
      <c r="B75">
        <v>1429345833</v>
      </c>
      <c r="C75" t="str">
        <v>XZTYCUBYTAUA</v>
      </c>
      <c r="D75" t="str">
        <v>Bought 1x [Mario &amp; Luigi: Superstar Saga] - AliExpress [SWT]</v>
      </c>
      <c r="E75" s="7">
        <v>1</v>
      </c>
      <c r="F75" s="7">
        <v>45.8</v>
      </c>
      <c r="G75">
        <v>45770</v>
      </c>
      <c r="H75" t="str">
        <v>Shipped</v>
      </c>
      <c r="I75">
        <v>89</v>
      </c>
      <c r="J75">
        <v>27</v>
      </c>
      <c r="K75" t="str">
        <v>Game: Mario &amp; Luigi: Superstar Saga. A must-play for fans!</v>
      </c>
      <c r="L75" t="str">
        <v>Normal [V3]!</v>
      </c>
    </row>
    <row r="76" spans="2:12" x14ac:dyDescent="0.3">
      <c r="B76">
        <v>7199820024</v>
      </c>
      <c r="C76" t="str">
        <v>WO645UXB5A9H</v>
      </c>
      <c r="D76" t="str">
        <v>Bought 1x [Pokémon HeartGold] - AliExpress [NDS]</v>
      </c>
      <c r="E76" s="7">
        <v>1</v>
      </c>
      <c r="F76" s="7">
        <v>27.5</v>
      </c>
      <c r="G76">
        <v>45772</v>
      </c>
      <c r="H76" t="str">
        <v>Shipped</v>
      </c>
      <c r="I76">
        <v>77</v>
      </c>
      <c r="J76">
        <v>18</v>
      </c>
      <c r="K76" t="str">
        <v>Game: Pokémon HeartGold. A must-play for fans!</v>
      </c>
      <c r="L76" t="str">
        <v>Complete [DLX]</v>
      </c>
    </row>
    <row r="77" spans="2:12" x14ac:dyDescent="0.3">
      <c r="B77">
        <v>8904437408</v>
      </c>
      <c r="C77" t="str">
        <v>NMBPFIZE7YF0</v>
      </c>
      <c r="D77" t="str">
        <v>Bought 1x [Tetris 99] - AliExpress [NDS]</v>
      </c>
      <c r="E77" s="7">
        <v>1</v>
      </c>
      <c r="F77" s="7">
        <v>41.3</v>
      </c>
      <c r="G77">
        <v>45760</v>
      </c>
      <c r="H77" t="str">
        <v>Shipped</v>
      </c>
      <c r="I77">
        <v>23</v>
      </c>
      <c r="J77">
        <v>14</v>
      </c>
      <c r="K77" t="str">
        <v>Game: Tetris 99. A must-play for fans!</v>
      </c>
      <c r="L77" t="str">
        <v>Complete [DLC+]</v>
      </c>
    </row>
    <row r="78" spans="2:12" x14ac:dyDescent="0.3">
      <c r="B78">
        <v>3154887243</v>
      </c>
      <c r="C78" t="str">
        <v>7V6BZZPKPAE7</v>
      </c>
      <c r="D78" t="str">
        <v>Bought 1x [Super Mario All-Stars] - AliExpress [NDS]</v>
      </c>
      <c r="E78" s="7">
        <v>1</v>
      </c>
      <c r="F78" s="7">
        <v>53.1</v>
      </c>
      <c r="G78">
        <v>45761</v>
      </c>
      <c r="H78" t="str">
        <v>Shipped</v>
      </c>
      <c r="I78">
        <v>34</v>
      </c>
      <c r="J78">
        <v>15</v>
      </c>
      <c r="K78" t="str">
        <v>Game: Super Mario All-Stars. A must-play for fans!</v>
      </c>
      <c r="L78" t="str">
        <v>Complete [XZ]!</v>
      </c>
    </row>
    <row r="79" spans="2:12" x14ac:dyDescent="0.3">
      <c r="B79">
        <v>9114238907</v>
      </c>
      <c r="C79" t="str">
        <v>LW8G9GCYS5O0</v>
      </c>
      <c r="D79" t="str">
        <v>Bought 1x [Animal Crossing: New Leaf] - AliExpress [3DS]</v>
      </c>
      <c r="E79" s="7">
        <v>1</v>
      </c>
      <c r="F79" s="7">
        <v>29.5</v>
      </c>
      <c r="G79">
        <v>45758</v>
      </c>
      <c r="H79" t="str">
        <v>Shipped</v>
      </c>
      <c r="I79">
        <v>99</v>
      </c>
      <c r="J79">
        <v>14</v>
      </c>
      <c r="K79" t="str">
        <v>Game: Animal Crossing: New Leaf. A must-play for fans!</v>
      </c>
      <c r="L79" t="str">
        <v>Normal [XP]</v>
      </c>
    </row>
    <row r="80" spans="2:12" x14ac:dyDescent="0.3">
      <c r="B80">
        <v>2925075661</v>
      </c>
      <c r="C80" t="str">
        <v>V5ZYHNE4OH7G</v>
      </c>
      <c r="D80" t="str">
        <v>Bought 1x [Splatoon] - AliExpress [NDS]</v>
      </c>
      <c r="E80" s="7">
        <v>1</v>
      </c>
      <c r="F80" s="7">
        <v>45.3</v>
      </c>
      <c r="G80">
        <v>45761</v>
      </c>
      <c r="H80" t="str">
        <v>Shipped</v>
      </c>
      <c r="I80">
        <v>29</v>
      </c>
      <c r="J80">
        <v>11</v>
      </c>
      <c r="K80" t="str">
        <v>Game: Splatoon. A must-play for fans!</v>
      </c>
      <c r="L80" t="str">
        <v>Complete [DLX]</v>
      </c>
    </row>
    <row r="81" spans="2:12" x14ac:dyDescent="0.3">
      <c r="B81">
        <v>1476530563</v>
      </c>
      <c r="C81" t="str">
        <v>INL9OZ4FLL8H</v>
      </c>
      <c r="D81" t="str">
        <v>Bought 1x [Metroid Dread] - AliExpress [3DS]</v>
      </c>
      <c r="E81" s="7">
        <v>1</v>
      </c>
      <c r="F81" s="7">
        <v>16.7</v>
      </c>
      <c r="G81">
        <v>45771</v>
      </c>
      <c r="H81" t="str">
        <v>Shipped</v>
      </c>
      <c r="I81">
        <v>76</v>
      </c>
      <c r="J81">
        <v>12</v>
      </c>
      <c r="K81" t="str">
        <v>Game: Metroid Dread. A must-play for fans!</v>
      </c>
      <c r="L81" t="str">
        <v>Normal [XP]</v>
      </c>
    </row>
    <row r="82" spans="2:12" x14ac:dyDescent="0.3">
      <c r="B82">
        <v>2593249747</v>
      </c>
      <c r="C82" t="str">
        <v>DCT4U1RW5D2S</v>
      </c>
      <c r="D82" t="str">
        <v>Bought 1x [Pokémon Moon] - AliExpress [NDS]</v>
      </c>
      <c r="E82" s="7">
        <v>1</v>
      </c>
      <c r="F82" s="7">
        <v>39.6</v>
      </c>
      <c r="G82">
        <v>45773</v>
      </c>
      <c r="H82" t="str">
        <v>Shipped</v>
      </c>
      <c r="I82">
        <v>41</v>
      </c>
      <c r="J82">
        <v>22</v>
      </c>
      <c r="K82" t="str">
        <v>Game: Pokémon Moon. A must-play for fans!</v>
      </c>
      <c r="L82" t="str">
        <v>Complete [DLX]</v>
      </c>
    </row>
    <row r="83" spans="2:12" x14ac:dyDescent="0.3">
      <c r="B83">
        <v>6825887245</v>
      </c>
      <c r="C83" t="str">
        <v>9OIDPBJK4K9R</v>
      </c>
      <c r="D83" t="str">
        <v>Bought 1x [Donkey Kong Country: Tropical Freeze] - AliExpress [NDS]</v>
      </c>
      <c r="E83" s="7">
        <v>1</v>
      </c>
      <c r="F83" s="7">
        <v>55.7</v>
      </c>
      <c r="G83">
        <v>45775</v>
      </c>
      <c r="H83" t="str">
        <v>Shipped</v>
      </c>
      <c r="I83">
        <v>35</v>
      </c>
      <c r="J83">
        <v>16</v>
      </c>
      <c r="K83" t="str">
        <v>Game: Donkey Kong Country: Tropical Freeze. A must-play for fans!</v>
      </c>
      <c r="L83" t="str">
        <v>Complete [DLC+]</v>
      </c>
    </row>
    <row r="84" spans="2:12" x14ac:dyDescent="0.3">
      <c r="B84">
        <v>5069515732</v>
      </c>
      <c r="C84" t="str">
        <v>WB8ZVL1OK62E</v>
      </c>
      <c r="D84" t="str">
        <v>Bought 1x [Pokémon Blue] - AliExpress [NDS]</v>
      </c>
      <c r="E84" s="7">
        <v>1</v>
      </c>
      <c r="F84" s="7">
        <v>55.5</v>
      </c>
      <c r="G84">
        <v>45758</v>
      </c>
      <c r="H84" t="str">
        <v>Shipped</v>
      </c>
      <c r="I84">
        <v>78</v>
      </c>
      <c r="J84">
        <v>20</v>
      </c>
      <c r="K84" t="str">
        <v>Game: Pokémon Blue. A must-play for fans!</v>
      </c>
      <c r="L84" t="str">
        <v>Complete [XZ]!</v>
      </c>
    </row>
    <row r="85" spans="2:12" x14ac:dyDescent="0.3">
      <c r="B85">
        <v>1402991327</v>
      </c>
      <c r="C85" t="str">
        <v>3AEZS929CK2S</v>
      </c>
      <c r="D85" t="str">
        <v>Bought 1x [Luigi's Mansion] - AliExpress [SWT]</v>
      </c>
      <c r="E85" s="7">
        <v>1</v>
      </c>
      <c r="F85" s="7">
        <v>33.799999999999997</v>
      </c>
      <c r="G85">
        <v>45773</v>
      </c>
      <c r="H85" t="str">
        <v>Shipped</v>
      </c>
      <c r="I85">
        <v>85</v>
      </c>
      <c r="J85">
        <v>15</v>
      </c>
      <c r="K85" t="str">
        <v>Game: Luigi's Mansion. A must-play for fans!</v>
      </c>
      <c r="L85" t="str">
        <v>Complete [DLC+]</v>
      </c>
    </row>
    <row r="86" spans="2:12" x14ac:dyDescent="0.3">
      <c r="B86">
        <v>7164124904</v>
      </c>
      <c r="C86" t="str">
        <v>7B5BCC65NKV6</v>
      </c>
      <c r="D86" t="str">
        <v>Bought 1x [Metroid Dread] - AliExpress [3DS]</v>
      </c>
      <c r="E86" s="7">
        <v>1</v>
      </c>
      <c r="F86" s="7">
        <v>55.6</v>
      </c>
      <c r="G86">
        <v>45761</v>
      </c>
      <c r="H86" t="str">
        <v>Shipped</v>
      </c>
      <c r="I86">
        <v>42</v>
      </c>
      <c r="J86">
        <v>12</v>
      </c>
      <c r="K86" t="str">
        <v>Game: Metroid Dread. A must-play for fans!</v>
      </c>
      <c r="L86" t="str">
        <v>Normal [V3]!</v>
      </c>
    </row>
    <row r="87" spans="2:12" x14ac:dyDescent="0.3">
      <c r="B87">
        <v>5442802738</v>
      </c>
      <c r="C87" t="str">
        <v>CU96U0HETLRI</v>
      </c>
      <c r="D87" t="str">
        <v>Bought 1x [Hyrule Warriors] - AliExpress [SWT]</v>
      </c>
      <c r="E87" s="7">
        <v>1</v>
      </c>
      <c r="F87" s="7">
        <v>36.299999999999997</v>
      </c>
      <c r="G87">
        <v>45758</v>
      </c>
      <c r="H87" t="str">
        <v>Shipped</v>
      </c>
      <c r="I87">
        <v>22</v>
      </c>
      <c r="J87">
        <v>21</v>
      </c>
      <c r="K87" t="str">
        <v>Game: Hyrule Warriors. A must-play for fans!</v>
      </c>
      <c r="L87" t="str">
        <v>Complete [XZ]!</v>
      </c>
    </row>
    <row r="88" spans="2:12" x14ac:dyDescent="0.3">
      <c r="B88">
        <v>5115928132</v>
      </c>
      <c r="C88" t="str">
        <v>7UHKGWDLWC60</v>
      </c>
      <c r="D88" t="str">
        <v>Bought 1x [The Legend of Zelda: Ocarina of Time 3D] - AliExpress [3DS]</v>
      </c>
      <c r="E88" s="7">
        <v>1</v>
      </c>
      <c r="F88" s="7">
        <v>43.2</v>
      </c>
      <c r="G88">
        <v>45766</v>
      </c>
      <c r="H88" t="str">
        <v>Shipped</v>
      </c>
      <c r="I88">
        <v>76</v>
      </c>
      <c r="J88">
        <v>18</v>
      </c>
      <c r="K88" t="str">
        <v>Game: The Legend of Zelda: Ocarina of Time 3D. A must-play for fans!</v>
      </c>
      <c r="L88" t="str">
        <v>Complete [DLC+]</v>
      </c>
    </row>
    <row r="89" spans="2:12" x14ac:dyDescent="0.3">
      <c r="B89">
        <v>9483853306</v>
      </c>
      <c r="C89" t="str">
        <v>5S6AHO4G4BRJ</v>
      </c>
      <c r="D89" t="str">
        <v>Bought 1x [Super Mario Galaxy] - AliExpress [3DS]</v>
      </c>
      <c r="E89" s="7">
        <v>1</v>
      </c>
      <c r="F89" s="7">
        <v>26.1</v>
      </c>
      <c r="G89">
        <v>45775</v>
      </c>
      <c r="H89" t="str">
        <v>Shipped</v>
      </c>
      <c r="I89">
        <v>37</v>
      </c>
      <c r="J89">
        <v>21</v>
      </c>
      <c r="K89" t="str">
        <v>Game: Super Mario Galaxy. A must-play for fans!</v>
      </c>
      <c r="L89" t="str">
        <v>Complete [XZ]!</v>
      </c>
    </row>
    <row r="90" spans="2:12" x14ac:dyDescent="0.3">
      <c r="B90">
        <v>4319579638</v>
      </c>
      <c r="C90" t="str">
        <v>DGVFBO8R3YMY</v>
      </c>
      <c r="D90" t="str">
        <v>Bought 1x [Pokémon Let's Go, Pikachu!] - AliExpress [SWT]</v>
      </c>
      <c r="E90" s="7">
        <v>1</v>
      </c>
      <c r="F90" s="7">
        <v>29.4</v>
      </c>
      <c r="G90">
        <v>45775</v>
      </c>
      <c r="H90" t="str">
        <v>Shipped</v>
      </c>
      <c r="I90">
        <v>56</v>
      </c>
      <c r="J90">
        <v>11</v>
      </c>
      <c r="K90" t="str">
        <v>Game: Pokémon Let's Go, Pikachu!. A must-play for fans!</v>
      </c>
      <c r="L90" t="str">
        <v>Complete [DLX]</v>
      </c>
    </row>
    <row r="91" spans="2:12" x14ac:dyDescent="0.3">
      <c r="B91">
        <v>8509378705</v>
      </c>
      <c r="C91" t="str">
        <v>VRY0LE9LS6C3</v>
      </c>
      <c r="D91" t="str">
        <v>Bought 1x [Pokémon Sun] - AliExpress [SWT]</v>
      </c>
      <c r="E91" s="7">
        <v>1</v>
      </c>
      <c r="F91" s="7">
        <v>41.1</v>
      </c>
      <c r="G91">
        <v>45759</v>
      </c>
      <c r="H91" t="str">
        <v>Shipped</v>
      </c>
      <c r="I91">
        <v>65</v>
      </c>
      <c r="J91">
        <v>28</v>
      </c>
      <c r="K91" t="str">
        <v>Game: Pokémon Sun. A must-play for fans!</v>
      </c>
      <c r="L91" t="str">
        <v>Complete [DLC+]</v>
      </c>
    </row>
  </sheetData>
  <mergeCells count="1">
    <mergeCell ref="B4:N10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BD68696-EB9C-412D-9C6B-CBCF08CBDECF}">
          <x14:formula1>
            <xm:f>LISTA!$A$2:$A$4</xm:f>
          </x14:formula1>
          <xm:sqref>B49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A2348-E777-41DB-A446-73B3F3909C94}">
  <sheetPr>
    <tabColor rgb="FF00B050"/>
  </sheetPr>
  <dimension ref="B1:L104"/>
  <sheetViews>
    <sheetView showGridLines="0" topLeftCell="E78" zoomScaleNormal="100" workbookViewId="0">
      <selection activeCell="H5" sqref="H5:H104"/>
    </sheetView>
  </sheetViews>
  <sheetFormatPr defaultRowHeight="14.4" x14ac:dyDescent="0.3"/>
  <cols>
    <col min="1" max="1" width="2.77734375" customWidth="1"/>
    <col min="2" max="2" width="11.21875" bestFit="1" customWidth="1"/>
    <col min="3" max="3" width="16.77734375" customWidth="1"/>
    <col min="4" max="4" width="87.88671875" bestFit="1" customWidth="1"/>
    <col min="5" max="5" width="9.77734375" customWidth="1"/>
    <col min="6" max="6" width="11.33203125" customWidth="1"/>
    <col min="7" max="7" width="12.77734375" customWidth="1"/>
    <col min="8" max="8" width="13.109375" customWidth="1"/>
    <col min="9" max="9" width="10.44140625" customWidth="1"/>
    <col min="10" max="10" width="15.5546875" customWidth="1"/>
    <col min="11" max="11" width="77" bestFit="1" customWidth="1"/>
    <col min="12" max="12" width="19.44140625" bestFit="1" customWidth="1"/>
  </cols>
  <sheetData>
    <row r="1" spans="2:12" s="1" customFormat="1" ht="64.95" customHeight="1" x14ac:dyDescent="0.3"/>
    <row r="4" spans="2:12" x14ac:dyDescent="0.3">
      <c r="B4" s="2" t="s">
        <v>0</v>
      </c>
      <c r="C4" s="3" t="s">
        <v>1</v>
      </c>
      <c r="D4" s="3" t="s">
        <v>177</v>
      </c>
      <c r="E4" s="3" t="s">
        <v>2</v>
      </c>
      <c r="F4" s="3" t="s">
        <v>3</v>
      </c>
      <c r="G4" s="3" t="s">
        <v>4</v>
      </c>
      <c r="H4" s="8" t="s">
        <v>5</v>
      </c>
      <c r="I4" s="3" t="s">
        <v>6</v>
      </c>
      <c r="J4" s="3" t="s">
        <v>7</v>
      </c>
      <c r="K4" s="3" t="s">
        <v>8</v>
      </c>
      <c r="L4" s="4" t="s">
        <v>178</v>
      </c>
    </row>
    <row r="5" spans="2:12" x14ac:dyDescent="0.3">
      <c r="B5" s="9">
        <v>2710393603</v>
      </c>
      <c r="C5" s="10" t="s">
        <v>9</v>
      </c>
      <c r="D5" s="10" t="s">
        <v>181</v>
      </c>
      <c r="E5" s="10">
        <v>1</v>
      </c>
      <c r="F5" s="11">
        <v>42.5</v>
      </c>
      <c r="G5" s="12">
        <v>45774</v>
      </c>
      <c r="H5" s="10" t="s">
        <v>10</v>
      </c>
      <c r="I5" s="11">
        <v>35</v>
      </c>
      <c r="J5" s="11">
        <v>26</v>
      </c>
      <c r="K5" s="10" t="s">
        <v>11</v>
      </c>
      <c r="L5" s="13" t="s">
        <v>12</v>
      </c>
    </row>
    <row r="6" spans="2:12" x14ac:dyDescent="0.3">
      <c r="B6" s="9">
        <v>5088223175</v>
      </c>
      <c r="C6" s="10" t="s">
        <v>13</v>
      </c>
      <c r="D6" s="10" t="s">
        <v>182</v>
      </c>
      <c r="E6" s="10">
        <v>1</v>
      </c>
      <c r="F6" s="11">
        <v>57.9</v>
      </c>
      <c r="G6" s="12">
        <v>45773</v>
      </c>
      <c r="H6" s="10" t="s">
        <v>10</v>
      </c>
      <c r="I6" s="11">
        <v>37</v>
      </c>
      <c r="J6" s="11">
        <v>16</v>
      </c>
      <c r="K6" s="10" t="s">
        <v>14</v>
      </c>
      <c r="L6" s="13" t="s">
        <v>15</v>
      </c>
    </row>
    <row r="7" spans="2:12" x14ac:dyDescent="0.3">
      <c r="B7" s="9">
        <v>6603321989</v>
      </c>
      <c r="C7" s="10" t="s">
        <v>16</v>
      </c>
      <c r="D7" s="10" t="s">
        <v>238</v>
      </c>
      <c r="E7" s="10">
        <v>1</v>
      </c>
      <c r="F7" s="11">
        <v>37.5</v>
      </c>
      <c r="G7" s="12">
        <v>45767</v>
      </c>
      <c r="H7" s="10" t="s">
        <v>17</v>
      </c>
      <c r="I7" s="11">
        <v>73</v>
      </c>
      <c r="J7" s="11">
        <v>20</v>
      </c>
      <c r="K7" s="10" t="s">
        <v>18</v>
      </c>
      <c r="L7" s="13" t="s">
        <v>19</v>
      </c>
    </row>
    <row r="8" spans="2:12" x14ac:dyDescent="0.3">
      <c r="B8" s="9">
        <v>7417909614</v>
      </c>
      <c r="C8" s="10" t="s">
        <v>20</v>
      </c>
      <c r="D8" s="10" t="s">
        <v>183</v>
      </c>
      <c r="E8" s="10">
        <v>1</v>
      </c>
      <c r="F8" s="11">
        <v>34.799999999999997</v>
      </c>
      <c r="G8" s="12">
        <v>45765</v>
      </c>
      <c r="H8" s="10" t="s">
        <v>10</v>
      </c>
      <c r="I8" s="11">
        <v>87</v>
      </c>
      <c r="J8" s="11">
        <v>23</v>
      </c>
      <c r="K8" s="10" t="s">
        <v>21</v>
      </c>
      <c r="L8" s="13" t="s">
        <v>19</v>
      </c>
    </row>
    <row r="9" spans="2:12" x14ac:dyDescent="0.3">
      <c r="B9" s="9">
        <v>2828220648</v>
      </c>
      <c r="C9" s="10" t="s">
        <v>22</v>
      </c>
      <c r="D9" s="10" t="s">
        <v>209</v>
      </c>
      <c r="E9" s="10">
        <v>1</v>
      </c>
      <c r="F9" s="11">
        <v>11.6</v>
      </c>
      <c r="G9" s="12">
        <v>45766</v>
      </c>
      <c r="H9" s="10" t="s">
        <v>17</v>
      </c>
      <c r="I9" s="11">
        <v>84</v>
      </c>
      <c r="J9" s="11">
        <v>11</v>
      </c>
      <c r="K9" s="10" t="s">
        <v>23</v>
      </c>
      <c r="L9" s="13" t="s">
        <v>12</v>
      </c>
    </row>
    <row r="10" spans="2:12" x14ac:dyDescent="0.3">
      <c r="B10" s="9">
        <v>6202988269</v>
      </c>
      <c r="C10" s="10" t="s">
        <v>24</v>
      </c>
      <c r="D10" s="10" t="s">
        <v>210</v>
      </c>
      <c r="E10" s="10">
        <v>1</v>
      </c>
      <c r="F10" s="11">
        <v>36.799999999999997</v>
      </c>
      <c r="G10" s="12">
        <v>45765</v>
      </c>
      <c r="H10" s="10" t="s">
        <v>25</v>
      </c>
      <c r="I10" s="11">
        <v>24</v>
      </c>
      <c r="J10" s="11">
        <v>19</v>
      </c>
      <c r="K10" s="10" t="s">
        <v>26</v>
      </c>
      <c r="L10" s="13" t="s">
        <v>27</v>
      </c>
    </row>
    <row r="11" spans="2:12" x14ac:dyDescent="0.3">
      <c r="B11" s="9">
        <v>8918845131</v>
      </c>
      <c r="C11" s="10" t="s">
        <v>28</v>
      </c>
      <c r="D11" s="10" t="s">
        <v>211</v>
      </c>
      <c r="E11" s="10">
        <v>1</v>
      </c>
      <c r="F11" s="11">
        <v>13.7</v>
      </c>
      <c r="G11" s="12">
        <v>45767</v>
      </c>
      <c r="H11" s="10" t="s">
        <v>25</v>
      </c>
      <c r="I11" s="11">
        <v>65</v>
      </c>
      <c r="J11" s="11">
        <v>17</v>
      </c>
      <c r="K11" s="10" t="s">
        <v>29</v>
      </c>
      <c r="L11" s="13" t="s">
        <v>19</v>
      </c>
    </row>
    <row r="12" spans="2:12" x14ac:dyDescent="0.3">
      <c r="B12" s="9">
        <v>9718773388</v>
      </c>
      <c r="C12" s="10" t="s">
        <v>30</v>
      </c>
      <c r="D12" s="10" t="s">
        <v>184</v>
      </c>
      <c r="E12" s="10">
        <v>1</v>
      </c>
      <c r="F12" s="11">
        <v>23.9</v>
      </c>
      <c r="G12" s="12">
        <v>45777</v>
      </c>
      <c r="H12" s="10" t="s">
        <v>25</v>
      </c>
      <c r="I12" s="11">
        <v>22</v>
      </c>
      <c r="J12" s="11">
        <v>27</v>
      </c>
      <c r="K12" s="10" t="s">
        <v>31</v>
      </c>
      <c r="L12" s="13" t="s">
        <v>32</v>
      </c>
    </row>
    <row r="13" spans="2:12" x14ac:dyDescent="0.3">
      <c r="B13" s="9">
        <v>6443460666</v>
      </c>
      <c r="C13" s="10" t="s">
        <v>33</v>
      </c>
      <c r="D13" s="10" t="s">
        <v>185</v>
      </c>
      <c r="E13" s="10">
        <v>1</v>
      </c>
      <c r="F13" s="11">
        <v>36.299999999999997</v>
      </c>
      <c r="G13" s="12">
        <v>45764</v>
      </c>
      <c r="H13" s="10" t="s">
        <v>10</v>
      </c>
      <c r="I13" s="11">
        <v>93</v>
      </c>
      <c r="J13" s="11">
        <v>14</v>
      </c>
      <c r="K13" s="10" t="s">
        <v>34</v>
      </c>
      <c r="L13" s="13" t="s">
        <v>27</v>
      </c>
    </row>
    <row r="14" spans="2:12" x14ac:dyDescent="0.3">
      <c r="B14" s="9">
        <v>1134833448</v>
      </c>
      <c r="C14" s="10" t="s">
        <v>35</v>
      </c>
      <c r="D14" s="10" t="s">
        <v>212</v>
      </c>
      <c r="E14" s="10">
        <v>1</v>
      </c>
      <c r="F14" s="11">
        <v>40.200000000000003</v>
      </c>
      <c r="G14" s="12">
        <v>45759</v>
      </c>
      <c r="H14" s="10" t="s">
        <v>17</v>
      </c>
      <c r="I14" s="11">
        <v>30</v>
      </c>
      <c r="J14" s="11">
        <v>30</v>
      </c>
      <c r="K14" s="10" t="s">
        <v>36</v>
      </c>
      <c r="L14" s="13" t="s">
        <v>15</v>
      </c>
    </row>
    <row r="15" spans="2:12" x14ac:dyDescent="0.3">
      <c r="B15" s="9">
        <v>8159289361</v>
      </c>
      <c r="C15" s="10" t="s">
        <v>37</v>
      </c>
      <c r="D15" s="10" t="s">
        <v>213</v>
      </c>
      <c r="E15" s="10">
        <v>1</v>
      </c>
      <c r="F15" s="11">
        <v>42.8</v>
      </c>
      <c r="G15" s="12">
        <v>45769</v>
      </c>
      <c r="H15" s="10" t="s">
        <v>17</v>
      </c>
      <c r="I15" s="11">
        <v>86</v>
      </c>
      <c r="J15" s="11">
        <v>27</v>
      </c>
      <c r="K15" s="10" t="s">
        <v>38</v>
      </c>
      <c r="L15" s="13" t="s">
        <v>12</v>
      </c>
    </row>
    <row r="16" spans="2:12" x14ac:dyDescent="0.3">
      <c r="B16" s="9">
        <v>3805404645</v>
      </c>
      <c r="C16" s="10" t="s">
        <v>39</v>
      </c>
      <c r="D16" s="10" t="s">
        <v>186</v>
      </c>
      <c r="E16" s="10">
        <v>1</v>
      </c>
      <c r="F16" s="11">
        <v>55.7</v>
      </c>
      <c r="G16" s="12">
        <v>45770</v>
      </c>
      <c r="H16" s="10" t="s">
        <v>25</v>
      </c>
      <c r="I16" s="11">
        <v>75</v>
      </c>
      <c r="J16" s="11">
        <v>27</v>
      </c>
      <c r="K16" s="10" t="s">
        <v>40</v>
      </c>
      <c r="L16" s="13" t="s">
        <v>19</v>
      </c>
    </row>
    <row r="17" spans="2:12" x14ac:dyDescent="0.3">
      <c r="B17" s="9">
        <v>3263582498</v>
      </c>
      <c r="C17" s="10" t="s">
        <v>41</v>
      </c>
      <c r="D17" s="10" t="s">
        <v>214</v>
      </c>
      <c r="E17" s="10">
        <v>1</v>
      </c>
      <c r="F17" s="11">
        <v>55.3</v>
      </c>
      <c r="G17" s="12">
        <v>45768</v>
      </c>
      <c r="H17" s="10" t="s">
        <v>25</v>
      </c>
      <c r="I17" s="11">
        <v>91</v>
      </c>
      <c r="J17" s="11">
        <v>19</v>
      </c>
      <c r="K17" s="10" t="s">
        <v>34</v>
      </c>
      <c r="L17" s="13" t="s">
        <v>12</v>
      </c>
    </row>
    <row r="18" spans="2:12" x14ac:dyDescent="0.3">
      <c r="B18" s="9">
        <v>6227627470</v>
      </c>
      <c r="C18" s="10" t="s">
        <v>42</v>
      </c>
      <c r="D18" s="10" t="s">
        <v>185</v>
      </c>
      <c r="E18" s="10">
        <v>1</v>
      </c>
      <c r="F18" s="11">
        <v>20.9</v>
      </c>
      <c r="G18" s="12">
        <v>45762</v>
      </c>
      <c r="H18" s="10" t="s">
        <v>25</v>
      </c>
      <c r="I18" s="11">
        <v>44</v>
      </c>
      <c r="J18" s="11">
        <v>23</v>
      </c>
      <c r="K18" s="10" t="s">
        <v>34</v>
      </c>
      <c r="L18" s="13" t="s">
        <v>19</v>
      </c>
    </row>
    <row r="19" spans="2:12" x14ac:dyDescent="0.3">
      <c r="B19" s="9">
        <v>5065117314</v>
      </c>
      <c r="C19" s="10" t="s">
        <v>43</v>
      </c>
      <c r="D19" s="10" t="s">
        <v>239</v>
      </c>
      <c r="E19" s="10">
        <v>1</v>
      </c>
      <c r="F19" s="11">
        <v>59.8</v>
      </c>
      <c r="G19" s="12">
        <v>45766</v>
      </c>
      <c r="H19" s="10" t="s">
        <v>17</v>
      </c>
      <c r="I19" s="11">
        <v>51</v>
      </c>
      <c r="J19" s="11">
        <v>13</v>
      </c>
      <c r="K19" s="10" t="s">
        <v>44</v>
      </c>
      <c r="L19" s="13" t="s">
        <v>12</v>
      </c>
    </row>
    <row r="20" spans="2:12" x14ac:dyDescent="0.3">
      <c r="B20" s="9">
        <v>2465698130</v>
      </c>
      <c r="C20" s="10" t="s">
        <v>45</v>
      </c>
      <c r="D20" s="10" t="s">
        <v>187</v>
      </c>
      <c r="E20" s="10">
        <v>1</v>
      </c>
      <c r="F20" s="11">
        <v>14.5</v>
      </c>
      <c r="G20" s="12">
        <v>45757</v>
      </c>
      <c r="H20" s="10" t="s">
        <v>17</v>
      </c>
      <c r="I20" s="11">
        <v>37</v>
      </c>
      <c r="J20" s="11">
        <v>23</v>
      </c>
      <c r="K20" s="10" t="s">
        <v>46</v>
      </c>
      <c r="L20" s="13" t="s">
        <v>15</v>
      </c>
    </row>
    <row r="21" spans="2:12" x14ac:dyDescent="0.3">
      <c r="B21" s="9">
        <v>8282480555</v>
      </c>
      <c r="C21" s="10" t="s">
        <v>47</v>
      </c>
      <c r="D21" s="10" t="s">
        <v>215</v>
      </c>
      <c r="E21" s="10">
        <v>1</v>
      </c>
      <c r="F21" s="11">
        <v>17.899999999999999</v>
      </c>
      <c r="G21" s="12">
        <v>45771</v>
      </c>
      <c r="H21" s="10" t="s">
        <v>10</v>
      </c>
      <c r="I21" s="11">
        <v>28</v>
      </c>
      <c r="J21" s="11">
        <v>18</v>
      </c>
      <c r="K21" s="10" t="s">
        <v>48</v>
      </c>
      <c r="L21" s="13" t="s">
        <v>15</v>
      </c>
    </row>
    <row r="22" spans="2:12" x14ac:dyDescent="0.3">
      <c r="B22" s="9">
        <v>6174580589</v>
      </c>
      <c r="C22" s="10" t="s">
        <v>49</v>
      </c>
      <c r="D22" s="10" t="s">
        <v>188</v>
      </c>
      <c r="E22" s="10">
        <v>1</v>
      </c>
      <c r="F22" s="11">
        <v>44.2</v>
      </c>
      <c r="G22" s="12">
        <v>45776</v>
      </c>
      <c r="H22" s="10" t="s">
        <v>17</v>
      </c>
      <c r="I22" s="11">
        <v>54</v>
      </c>
      <c r="J22" s="11">
        <v>11</v>
      </c>
      <c r="K22" s="10" t="s">
        <v>50</v>
      </c>
      <c r="L22" s="13" t="s">
        <v>12</v>
      </c>
    </row>
    <row r="23" spans="2:12" x14ac:dyDescent="0.3">
      <c r="B23" s="9">
        <v>1268038168</v>
      </c>
      <c r="C23" s="10" t="s">
        <v>51</v>
      </c>
      <c r="D23" s="10" t="s">
        <v>216</v>
      </c>
      <c r="E23" s="10">
        <v>1</v>
      </c>
      <c r="F23" s="11">
        <v>16.600000000000001</v>
      </c>
      <c r="G23" s="12">
        <v>45775</v>
      </c>
      <c r="H23" s="10" t="s">
        <v>25</v>
      </c>
      <c r="I23" s="11">
        <v>30</v>
      </c>
      <c r="J23" s="11">
        <v>21</v>
      </c>
      <c r="K23" s="10" t="s">
        <v>52</v>
      </c>
      <c r="L23" s="13" t="s">
        <v>15</v>
      </c>
    </row>
    <row r="24" spans="2:12" x14ac:dyDescent="0.3">
      <c r="B24" s="9">
        <v>8761823178</v>
      </c>
      <c r="C24" s="10" t="s">
        <v>53</v>
      </c>
      <c r="D24" s="10" t="s">
        <v>217</v>
      </c>
      <c r="E24" s="10">
        <v>1</v>
      </c>
      <c r="F24" s="11">
        <v>18.8</v>
      </c>
      <c r="G24" s="12">
        <v>45772</v>
      </c>
      <c r="H24" s="10" t="s">
        <v>17</v>
      </c>
      <c r="I24" s="11">
        <v>50</v>
      </c>
      <c r="J24" s="11">
        <v>28</v>
      </c>
      <c r="K24" s="10" t="s">
        <v>54</v>
      </c>
      <c r="L24" s="13" t="s">
        <v>27</v>
      </c>
    </row>
    <row r="25" spans="2:12" x14ac:dyDescent="0.3">
      <c r="B25" s="9">
        <v>1886589634</v>
      </c>
      <c r="C25" s="10" t="s">
        <v>55</v>
      </c>
      <c r="D25" s="10" t="s">
        <v>189</v>
      </c>
      <c r="E25" s="10">
        <v>1</v>
      </c>
      <c r="F25" s="11">
        <v>25.9</v>
      </c>
      <c r="G25" s="12">
        <v>45762</v>
      </c>
      <c r="H25" s="10" t="s">
        <v>10</v>
      </c>
      <c r="I25" s="11">
        <v>63</v>
      </c>
      <c r="J25" s="11">
        <v>11</v>
      </c>
      <c r="K25" s="10" t="s">
        <v>56</v>
      </c>
      <c r="L25" s="13" t="s">
        <v>27</v>
      </c>
    </row>
    <row r="26" spans="2:12" x14ac:dyDescent="0.3">
      <c r="B26" s="9">
        <v>1530847162</v>
      </c>
      <c r="C26" s="10" t="s">
        <v>57</v>
      </c>
      <c r="D26" s="10" t="s">
        <v>218</v>
      </c>
      <c r="E26" s="10">
        <v>1</v>
      </c>
      <c r="F26" s="11">
        <v>44.9</v>
      </c>
      <c r="G26" s="12">
        <v>45773</v>
      </c>
      <c r="H26" s="10" t="s">
        <v>17</v>
      </c>
      <c r="I26" s="11">
        <v>43</v>
      </c>
      <c r="J26" s="11">
        <v>23</v>
      </c>
      <c r="K26" s="10" t="s">
        <v>58</v>
      </c>
      <c r="L26" s="13" t="s">
        <v>15</v>
      </c>
    </row>
    <row r="27" spans="2:12" x14ac:dyDescent="0.3">
      <c r="B27" s="9">
        <v>7644402612</v>
      </c>
      <c r="C27" s="10" t="s">
        <v>59</v>
      </c>
      <c r="D27" s="10" t="s">
        <v>190</v>
      </c>
      <c r="E27" s="10">
        <v>1</v>
      </c>
      <c r="F27" s="11">
        <v>42.4</v>
      </c>
      <c r="G27" s="12">
        <v>45760</v>
      </c>
      <c r="H27" s="10" t="s">
        <v>10</v>
      </c>
      <c r="I27" s="11">
        <v>72</v>
      </c>
      <c r="J27" s="11">
        <v>11</v>
      </c>
      <c r="K27" s="10" t="s">
        <v>60</v>
      </c>
      <c r="L27" s="13" t="s">
        <v>12</v>
      </c>
    </row>
    <row r="28" spans="2:12" x14ac:dyDescent="0.3">
      <c r="B28" s="9">
        <v>2712992845</v>
      </c>
      <c r="C28" s="10" t="s">
        <v>61</v>
      </c>
      <c r="D28" s="10" t="s">
        <v>191</v>
      </c>
      <c r="E28" s="10">
        <v>1</v>
      </c>
      <c r="F28" s="11">
        <v>54.1</v>
      </c>
      <c r="G28" s="12">
        <v>45770</v>
      </c>
      <c r="H28" s="10" t="s">
        <v>10</v>
      </c>
      <c r="I28" s="11">
        <v>91</v>
      </c>
      <c r="J28" s="11">
        <v>23</v>
      </c>
      <c r="K28" s="10" t="s">
        <v>62</v>
      </c>
      <c r="L28" s="13" t="s">
        <v>19</v>
      </c>
    </row>
    <row r="29" spans="2:12" x14ac:dyDescent="0.3">
      <c r="B29" s="9">
        <v>3831998152</v>
      </c>
      <c r="C29" s="10" t="s">
        <v>63</v>
      </c>
      <c r="D29" s="10" t="s">
        <v>219</v>
      </c>
      <c r="E29" s="10">
        <v>1</v>
      </c>
      <c r="F29" s="11">
        <v>15</v>
      </c>
      <c r="G29" s="12">
        <v>45763</v>
      </c>
      <c r="H29" s="10" t="s">
        <v>10</v>
      </c>
      <c r="I29" s="11">
        <v>59</v>
      </c>
      <c r="J29" s="11">
        <v>25</v>
      </c>
      <c r="K29" s="10" t="s">
        <v>64</v>
      </c>
      <c r="L29" s="13" t="s">
        <v>12</v>
      </c>
    </row>
    <row r="30" spans="2:12" x14ac:dyDescent="0.3">
      <c r="B30" s="9">
        <v>5561729620</v>
      </c>
      <c r="C30" s="10" t="s">
        <v>65</v>
      </c>
      <c r="D30" s="10" t="s">
        <v>220</v>
      </c>
      <c r="E30" s="10">
        <v>1</v>
      </c>
      <c r="F30" s="11">
        <v>38.700000000000003</v>
      </c>
      <c r="G30" s="12">
        <v>45762</v>
      </c>
      <c r="H30" s="10" t="s">
        <v>17</v>
      </c>
      <c r="I30" s="11">
        <v>42</v>
      </c>
      <c r="J30" s="11">
        <v>20</v>
      </c>
      <c r="K30" s="10" t="s">
        <v>66</v>
      </c>
      <c r="L30" s="13" t="s">
        <v>19</v>
      </c>
    </row>
    <row r="31" spans="2:12" x14ac:dyDescent="0.3">
      <c r="B31" s="9">
        <v>6864946536</v>
      </c>
      <c r="C31" s="10" t="s">
        <v>67</v>
      </c>
      <c r="D31" s="10" t="s">
        <v>192</v>
      </c>
      <c r="E31" s="10">
        <v>1</v>
      </c>
      <c r="F31" s="11">
        <v>21.2</v>
      </c>
      <c r="G31" s="12">
        <v>45767</v>
      </c>
      <c r="H31" s="10" t="s">
        <v>25</v>
      </c>
      <c r="I31" s="11">
        <v>49</v>
      </c>
      <c r="J31" s="11">
        <v>17</v>
      </c>
      <c r="K31" s="10" t="s">
        <v>68</v>
      </c>
      <c r="L31" s="13" t="s">
        <v>27</v>
      </c>
    </row>
    <row r="32" spans="2:12" x14ac:dyDescent="0.3">
      <c r="B32" s="9">
        <v>5415997812</v>
      </c>
      <c r="C32" s="10" t="s">
        <v>69</v>
      </c>
      <c r="D32" s="10" t="s">
        <v>193</v>
      </c>
      <c r="E32" s="10">
        <v>1</v>
      </c>
      <c r="F32" s="11">
        <v>18.7</v>
      </c>
      <c r="G32" s="12">
        <v>45763</v>
      </c>
      <c r="H32" s="10" t="s">
        <v>17</v>
      </c>
      <c r="I32" s="11">
        <v>40</v>
      </c>
      <c r="J32" s="11">
        <v>11</v>
      </c>
      <c r="K32" s="10" t="s">
        <v>26</v>
      </c>
      <c r="L32" s="13" t="s">
        <v>19</v>
      </c>
    </row>
    <row r="33" spans="2:12" x14ac:dyDescent="0.3">
      <c r="B33" s="9">
        <v>5074725258</v>
      </c>
      <c r="C33" s="10" t="s">
        <v>70</v>
      </c>
      <c r="D33" s="10" t="s">
        <v>240</v>
      </c>
      <c r="E33" s="10">
        <v>1</v>
      </c>
      <c r="F33" s="11">
        <v>40.5</v>
      </c>
      <c r="G33" s="12">
        <v>45776</v>
      </c>
      <c r="H33" s="10" t="s">
        <v>10</v>
      </c>
      <c r="I33" s="11">
        <v>70</v>
      </c>
      <c r="J33" s="11">
        <v>16</v>
      </c>
      <c r="K33" s="10" t="s">
        <v>71</v>
      </c>
      <c r="L33" s="13" t="s">
        <v>32</v>
      </c>
    </row>
    <row r="34" spans="2:12" x14ac:dyDescent="0.3">
      <c r="B34" s="9">
        <v>3189350587</v>
      </c>
      <c r="C34" s="10" t="s">
        <v>72</v>
      </c>
      <c r="D34" s="10" t="s">
        <v>194</v>
      </c>
      <c r="E34" s="10">
        <v>1</v>
      </c>
      <c r="F34" s="11">
        <v>34.1</v>
      </c>
      <c r="G34" s="12">
        <v>45769</v>
      </c>
      <c r="H34" s="10" t="s">
        <v>25</v>
      </c>
      <c r="I34" s="11">
        <v>65</v>
      </c>
      <c r="J34" s="11">
        <v>22</v>
      </c>
      <c r="K34" s="10" t="s">
        <v>73</v>
      </c>
      <c r="L34" s="13" t="s">
        <v>15</v>
      </c>
    </row>
    <row r="35" spans="2:12" x14ac:dyDescent="0.3">
      <c r="B35" s="9">
        <v>3790147896</v>
      </c>
      <c r="C35" s="10" t="s">
        <v>74</v>
      </c>
      <c r="D35" s="10" t="s">
        <v>221</v>
      </c>
      <c r="E35" s="10">
        <v>1</v>
      </c>
      <c r="F35" s="11">
        <v>10.3</v>
      </c>
      <c r="G35" s="12">
        <v>45765</v>
      </c>
      <c r="H35" s="10" t="s">
        <v>10</v>
      </c>
      <c r="I35" s="11">
        <v>86</v>
      </c>
      <c r="J35" s="11">
        <v>22</v>
      </c>
      <c r="K35" s="10" t="s">
        <v>44</v>
      </c>
      <c r="L35" s="13" t="s">
        <v>32</v>
      </c>
    </row>
    <row r="36" spans="2:12" x14ac:dyDescent="0.3">
      <c r="B36" s="9">
        <v>7989158402</v>
      </c>
      <c r="C36" s="10" t="s">
        <v>75</v>
      </c>
      <c r="D36" s="10" t="s">
        <v>241</v>
      </c>
      <c r="E36" s="10">
        <v>1</v>
      </c>
      <c r="F36" s="11">
        <v>26.7</v>
      </c>
      <c r="G36" s="12">
        <v>45773</v>
      </c>
      <c r="H36" s="10" t="s">
        <v>25</v>
      </c>
      <c r="I36" s="11">
        <v>87</v>
      </c>
      <c r="J36" s="11">
        <v>14</v>
      </c>
      <c r="K36" s="10" t="s">
        <v>46</v>
      </c>
      <c r="L36" s="13" t="s">
        <v>12</v>
      </c>
    </row>
    <row r="37" spans="2:12" x14ac:dyDescent="0.3">
      <c r="B37" s="9">
        <v>2782438837</v>
      </c>
      <c r="C37" s="10" t="s">
        <v>76</v>
      </c>
      <c r="D37" s="10" t="s">
        <v>242</v>
      </c>
      <c r="E37" s="10">
        <v>1</v>
      </c>
      <c r="F37" s="11">
        <v>20.8</v>
      </c>
      <c r="G37" s="12">
        <v>45770</v>
      </c>
      <c r="H37" s="10" t="s">
        <v>10</v>
      </c>
      <c r="I37" s="11">
        <v>68</v>
      </c>
      <c r="J37" s="11">
        <v>15</v>
      </c>
      <c r="K37" s="10" t="s">
        <v>77</v>
      </c>
      <c r="L37" s="13" t="s">
        <v>19</v>
      </c>
    </row>
    <row r="38" spans="2:12" x14ac:dyDescent="0.3">
      <c r="B38" s="9">
        <v>3963310991</v>
      </c>
      <c r="C38" s="10" t="s">
        <v>78</v>
      </c>
      <c r="D38" s="10" t="s">
        <v>243</v>
      </c>
      <c r="E38" s="10">
        <v>1</v>
      </c>
      <c r="F38" s="11">
        <v>27.8</v>
      </c>
      <c r="G38" s="12">
        <v>45764</v>
      </c>
      <c r="H38" s="10" t="s">
        <v>25</v>
      </c>
      <c r="I38" s="11">
        <v>79</v>
      </c>
      <c r="J38" s="11">
        <v>14</v>
      </c>
      <c r="K38" s="10" t="s">
        <v>79</v>
      </c>
      <c r="L38" s="13" t="s">
        <v>12</v>
      </c>
    </row>
    <row r="39" spans="2:12" x14ac:dyDescent="0.3">
      <c r="B39" s="9">
        <v>5100939764</v>
      </c>
      <c r="C39" s="10" t="s">
        <v>80</v>
      </c>
      <c r="D39" s="10" t="s">
        <v>222</v>
      </c>
      <c r="E39" s="10">
        <v>1</v>
      </c>
      <c r="F39" s="11">
        <v>37.200000000000003</v>
      </c>
      <c r="G39" s="12">
        <v>45775</v>
      </c>
      <c r="H39" s="10" t="s">
        <v>10</v>
      </c>
      <c r="I39" s="11">
        <v>41</v>
      </c>
      <c r="J39" s="11">
        <v>15</v>
      </c>
      <c r="K39" s="10" t="s">
        <v>81</v>
      </c>
      <c r="L39" s="13" t="s">
        <v>27</v>
      </c>
    </row>
    <row r="40" spans="2:12" x14ac:dyDescent="0.3">
      <c r="B40" s="9">
        <v>1306601609</v>
      </c>
      <c r="C40" s="10" t="s">
        <v>82</v>
      </c>
      <c r="D40" s="10" t="s">
        <v>223</v>
      </c>
      <c r="E40" s="10">
        <v>1</v>
      </c>
      <c r="F40" s="11">
        <v>16.3</v>
      </c>
      <c r="G40" s="12">
        <v>45771</v>
      </c>
      <c r="H40" s="10" t="s">
        <v>17</v>
      </c>
      <c r="I40" s="11">
        <v>32</v>
      </c>
      <c r="J40" s="11">
        <v>25</v>
      </c>
      <c r="K40" s="10" t="s">
        <v>83</v>
      </c>
      <c r="L40" s="13" t="s">
        <v>12</v>
      </c>
    </row>
    <row r="41" spans="2:12" x14ac:dyDescent="0.3">
      <c r="B41" s="9">
        <v>3865026554</v>
      </c>
      <c r="C41" s="10" t="s">
        <v>84</v>
      </c>
      <c r="D41" s="10" t="s">
        <v>244</v>
      </c>
      <c r="E41" s="10">
        <v>1</v>
      </c>
      <c r="F41" s="11">
        <v>39.1</v>
      </c>
      <c r="G41" s="12">
        <v>45774</v>
      </c>
      <c r="H41" s="10" t="s">
        <v>10</v>
      </c>
      <c r="I41" s="11">
        <v>39</v>
      </c>
      <c r="J41" s="11">
        <v>23</v>
      </c>
      <c r="K41" s="10" t="s">
        <v>85</v>
      </c>
      <c r="L41" s="13" t="s">
        <v>32</v>
      </c>
    </row>
    <row r="42" spans="2:12" x14ac:dyDescent="0.3">
      <c r="B42" s="9">
        <v>9182299911</v>
      </c>
      <c r="C42" s="10" t="s">
        <v>86</v>
      </c>
      <c r="D42" s="10" t="s">
        <v>195</v>
      </c>
      <c r="E42" s="10">
        <v>1</v>
      </c>
      <c r="F42" s="11">
        <v>10.8</v>
      </c>
      <c r="G42" s="12">
        <v>45760</v>
      </c>
      <c r="H42" s="10" t="s">
        <v>10</v>
      </c>
      <c r="I42" s="11">
        <v>85</v>
      </c>
      <c r="J42" s="11">
        <v>11</v>
      </c>
      <c r="K42" s="10" t="s">
        <v>87</v>
      </c>
      <c r="L42" s="13" t="s">
        <v>32</v>
      </c>
    </row>
    <row r="43" spans="2:12" x14ac:dyDescent="0.3">
      <c r="B43" s="9">
        <v>2974000959</v>
      </c>
      <c r="C43" s="10" t="s">
        <v>88</v>
      </c>
      <c r="D43" s="10" t="s">
        <v>224</v>
      </c>
      <c r="E43" s="10">
        <v>1</v>
      </c>
      <c r="F43" s="11">
        <v>58.8</v>
      </c>
      <c r="G43" s="12">
        <v>45771</v>
      </c>
      <c r="H43" s="10" t="s">
        <v>10</v>
      </c>
      <c r="I43" s="11">
        <v>54</v>
      </c>
      <c r="J43" s="11">
        <v>14</v>
      </c>
      <c r="K43" s="10" t="s">
        <v>60</v>
      </c>
      <c r="L43" s="13" t="s">
        <v>27</v>
      </c>
    </row>
    <row r="44" spans="2:12" x14ac:dyDescent="0.3">
      <c r="B44" s="9">
        <v>8909205723</v>
      </c>
      <c r="C44" s="10" t="s">
        <v>89</v>
      </c>
      <c r="D44" s="10" t="s">
        <v>225</v>
      </c>
      <c r="E44" s="10">
        <v>1</v>
      </c>
      <c r="F44" s="11">
        <v>12.5</v>
      </c>
      <c r="G44" s="12">
        <v>45758</v>
      </c>
      <c r="H44" s="10" t="s">
        <v>17</v>
      </c>
      <c r="I44" s="11">
        <v>47</v>
      </c>
      <c r="J44" s="11">
        <v>13</v>
      </c>
      <c r="K44" s="10" t="s">
        <v>90</v>
      </c>
      <c r="L44" s="13" t="s">
        <v>19</v>
      </c>
    </row>
    <row r="45" spans="2:12" x14ac:dyDescent="0.3">
      <c r="B45" s="9">
        <v>2957930075</v>
      </c>
      <c r="C45" s="10" t="s">
        <v>91</v>
      </c>
      <c r="D45" s="10" t="s">
        <v>226</v>
      </c>
      <c r="E45" s="10">
        <v>1</v>
      </c>
      <c r="F45" s="11">
        <v>44.7</v>
      </c>
      <c r="G45" s="12">
        <v>45769</v>
      </c>
      <c r="H45" s="10" t="s">
        <v>10</v>
      </c>
      <c r="I45" s="11">
        <v>100</v>
      </c>
      <c r="J45" s="11">
        <v>16</v>
      </c>
      <c r="K45" s="10" t="s">
        <v>92</v>
      </c>
      <c r="L45" s="13" t="s">
        <v>32</v>
      </c>
    </row>
    <row r="46" spans="2:12" x14ac:dyDescent="0.3">
      <c r="B46" s="9">
        <v>2711931960</v>
      </c>
      <c r="C46" s="10" t="s">
        <v>93</v>
      </c>
      <c r="D46" s="10" t="s">
        <v>215</v>
      </c>
      <c r="E46" s="10">
        <v>1</v>
      </c>
      <c r="F46" s="11">
        <v>39.4</v>
      </c>
      <c r="G46" s="12">
        <v>45764</v>
      </c>
      <c r="H46" s="10" t="s">
        <v>25</v>
      </c>
      <c r="I46" s="11">
        <v>64</v>
      </c>
      <c r="J46" s="11">
        <v>30</v>
      </c>
      <c r="K46" s="10" t="s">
        <v>48</v>
      </c>
      <c r="L46" s="13" t="s">
        <v>32</v>
      </c>
    </row>
    <row r="47" spans="2:12" x14ac:dyDescent="0.3">
      <c r="B47" s="9">
        <v>4635362952</v>
      </c>
      <c r="C47" s="10" t="s">
        <v>94</v>
      </c>
      <c r="D47" s="10" t="s">
        <v>245</v>
      </c>
      <c r="E47" s="10">
        <v>1</v>
      </c>
      <c r="F47" s="11">
        <v>10.1</v>
      </c>
      <c r="G47" s="12">
        <v>45766</v>
      </c>
      <c r="H47" s="10" t="s">
        <v>17</v>
      </c>
      <c r="I47" s="11">
        <v>82</v>
      </c>
      <c r="J47" s="11">
        <v>16</v>
      </c>
      <c r="K47" s="10" t="s">
        <v>95</v>
      </c>
      <c r="L47" s="13" t="s">
        <v>15</v>
      </c>
    </row>
    <row r="48" spans="2:12" x14ac:dyDescent="0.3">
      <c r="B48" s="9">
        <v>9875224615</v>
      </c>
      <c r="C48" s="10" t="s">
        <v>96</v>
      </c>
      <c r="D48" s="10" t="s">
        <v>246</v>
      </c>
      <c r="E48" s="10">
        <v>1</v>
      </c>
      <c r="F48" s="11">
        <v>55.4</v>
      </c>
      <c r="G48" s="12">
        <v>45768</v>
      </c>
      <c r="H48" s="10" t="s">
        <v>17</v>
      </c>
      <c r="I48" s="11">
        <v>32</v>
      </c>
      <c r="J48" s="11">
        <v>21</v>
      </c>
      <c r="K48" s="10" t="s">
        <v>97</v>
      </c>
      <c r="L48" s="13" t="s">
        <v>27</v>
      </c>
    </row>
    <row r="49" spans="2:12" x14ac:dyDescent="0.3">
      <c r="B49" s="9">
        <v>2928461169</v>
      </c>
      <c r="C49" s="10" t="s">
        <v>98</v>
      </c>
      <c r="D49" s="10" t="s">
        <v>227</v>
      </c>
      <c r="E49" s="10">
        <v>1</v>
      </c>
      <c r="F49" s="11">
        <v>45.8</v>
      </c>
      <c r="G49" s="12">
        <v>45760</v>
      </c>
      <c r="H49" s="10" t="s">
        <v>25</v>
      </c>
      <c r="I49" s="11">
        <v>78</v>
      </c>
      <c r="J49" s="11">
        <v>13</v>
      </c>
      <c r="K49" s="10" t="s">
        <v>99</v>
      </c>
      <c r="L49" s="13" t="s">
        <v>12</v>
      </c>
    </row>
    <row r="50" spans="2:12" x14ac:dyDescent="0.3">
      <c r="B50" s="9">
        <v>9913332762</v>
      </c>
      <c r="C50" s="10" t="s">
        <v>100</v>
      </c>
      <c r="D50" s="10" t="s">
        <v>247</v>
      </c>
      <c r="E50" s="10">
        <v>1</v>
      </c>
      <c r="F50" s="11">
        <v>38.299999999999997</v>
      </c>
      <c r="G50" s="12">
        <v>45761</v>
      </c>
      <c r="H50" s="10" t="s">
        <v>10</v>
      </c>
      <c r="I50" s="11">
        <v>56</v>
      </c>
      <c r="J50" s="11">
        <v>17</v>
      </c>
      <c r="K50" s="10" t="s">
        <v>64</v>
      </c>
      <c r="L50" s="13" t="s">
        <v>27</v>
      </c>
    </row>
    <row r="51" spans="2:12" x14ac:dyDescent="0.3">
      <c r="B51" s="9">
        <v>1136694112</v>
      </c>
      <c r="C51" s="10" t="s">
        <v>101</v>
      </c>
      <c r="D51" s="10" t="s">
        <v>248</v>
      </c>
      <c r="E51" s="10">
        <v>1</v>
      </c>
      <c r="F51" s="11">
        <v>16.600000000000001</v>
      </c>
      <c r="G51" s="12">
        <v>45760</v>
      </c>
      <c r="H51" s="10" t="s">
        <v>10</v>
      </c>
      <c r="I51" s="11">
        <v>83</v>
      </c>
      <c r="J51" s="11">
        <v>19</v>
      </c>
      <c r="K51" s="10" t="s">
        <v>102</v>
      </c>
      <c r="L51" s="13" t="s">
        <v>32</v>
      </c>
    </row>
    <row r="52" spans="2:12" x14ac:dyDescent="0.3">
      <c r="B52" s="9">
        <v>4084853064</v>
      </c>
      <c r="C52" s="10" t="s">
        <v>103</v>
      </c>
      <c r="D52" s="10" t="s">
        <v>249</v>
      </c>
      <c r="E52" s="10">
        <v>1</v>
      </c>
      <c r="F52" s="11">
        <v>32.6</v>
      </c>
      <c r="G52" s="12">
        <v>45764</v>
      </c>
      <c r="H52" s="10" t="s">
        <v>10</v>
      </c>
      <c r="I52" s="11">
        <v>29</v>
      </c>
      <c r="J52" s="11">
        <v>24</v>
      </c>
      <c r="K52" s="10" t="s">
        <v>83</v>
      </c>
      <c r="L52" s="13" t="s">
        <v>32</v>
      </c>
    </row>
    <row r="53" spans="2:12" x14ac:dyDescent="0.3">
      <c r="B53" s="9">
        <v>2743918570</v>
      </c>
      <c r="C53" s="10" t="s">
        <v>104</v>
      </c>
      <c r="D53" s="10" t="s">
        <v>196</v>
      </c>
      <c r="E53" s="10">
        <v>1</v>
      </c>
      <c r="F53" s="11">
        <v>25.4</v>
      </c>
      <c r="G53" s="12">
        <v>45771</v>
      </c>
      <c r="H53" s="10" t="s">
        <v>17</v>
      </c>
      <c r="I53" s="11">
        <v>42</v>
      </c>
      <c r="J53" s="11">
        <v>27</v>
      </c>
      <c r="K53" s="10" t="s">
        <v>105</v>
      </c>
      <c r="L53" s="13" t="s">
        <v>15</v>
      </c>
    </row>
    <row r="54" spans="2:12" x14ac:dyDescent="0.3">
      <c r="B54" s="9">
        <v>1996603672</v>
      </c>
      <c r="C54" s="10" t="s">
        <v>106</v>
      </c>
      <c r="D54" s="10" t="s">
        <v>250</v>
      </c>
      <c r="E54" s="10">
        <v>1</v>
      </c>
      <c r="F54" s="11">
        <v>34.200000000000003</v>
      </c>
      <c r="G54" s="12">
        <v>45761</v>
      </c>
      <c r="H54" s="10" t="s">
        <v>25</v>
      </c>
      <c r="I54" s="11">
        <v>88</v>
      </c>
      <c r="J54" s="11">
        <v>27</v>
      </c>
      <c r="K54" s="10" t="s">
        <v>34</v>
      </c>
      <c r="L54" s="13" t="s">
        <v>27</v>
      </c>
    </row>
    <row r="55" spans="2:12" x14ac:dyDescent="0.3">
      <c r="B55" s="9">
        <v>1090103232</v>
      </c>
      <c r="C55" s="10" t="s">
        <v>107</v>
      </c>
      <c r="D55" s="10" t="s">
        <v>251</v>
      </c>
      <c r="E55" s="10">
        <v>1</v>
      </c>
      <c r="F55" s="11">
        <v>32.6</v>
      </c>
      <c r="G55" s="12">
        <v>45775</v>
      </c>
      <c r="H55" s="10" t="s">
        <v>17</v>
      </c>
      <c r="I55" s="11">
        <v>32</v>
      </c>
      <c r="J55" s="11">
        <v>22</v>
      </c>
      <c r="K55" s="10" t="s">
        <v>108</v>
      </c>
      <c r="L55" s="13" t="s">
        <v>19</v>
      </c>
    </row>
    <row r="56" spans="2:12" x14ac:dyDescent="0.3">
      <c r="B56" s="9">
        <v>1487803564</v>
      </c>
      <c r="C56" s="10" t="s">
        <v>109</v>
      </c>
      <c r="D56" s="10" t="s">
        <v>183</v>
      </c>
      <c r="E56" s="10">
        <v>1</v>
      </c>
      <c r="F56" s="11">
        <v>45.3</v>
      </c>
      <c r="G56" s="12">
        <v>45775</v>
      </c>
      <c r="H56" s="10" t="s">
        <v>17</v>
      </c>
      <c r="I56" s="11">
        <v>51</v>
      </c>
      <c r="J56" s="11">
        <v>15</v>
      </c>
      <c r="K56" s="10" t="s">
        <v>21</v>
      </c>
      <c r="L56" s="13" t="s">
        <v>27</v>
      </c>
    </row>
    <row r="57" spans="2:12" x14ac:dyDescent="0.3">
      <c r="B57" s="9">
        <v>9872208987</v>
      </c>
      <c r="C57" s="10" t="s">
        <v>110</v>
      </c>
      <c r="D57" s="10" t="s">
        <v>252</v>
      </c>
      <c r="E57" s="10">
        <v>1</v>
      </c>
      <c r="F57" s="11">
        <v>35.299999999999997</v>
      </c>
      <c r="G57" s="12">
        <v>45761</v>
      </c>
      <c r="H57" s="10" t="s">
        <v>17</v>
      </c>
      <c r="I57" s="11">
        <v>73</v>
      </c>
      <c r="J57" s="11">
        <v>12</v>
      </c>
      <c r="K57" s="10" t="s">
        <v>73</v>
      </c>
      <c r="L57" s="13" t="s">
        <v>12</v>
      </c>
    </row>
    <row r="58" spans="2:12" x14ac:dyDescent="0.3">
      <c r="B58" s="9">
        <v>1047756196</v>
      </c>
      <c r="C58" s="10" t="s">
        <v>111</v>
      </c>
      <c r="D58" s="10" t="s">
        <v>228</v>
      </c>
      <c r="E58" s="10">
        <v>1</v>
      </c>
      <c r="F58" s="11">
        <v>40.700000000000003</v>
      </c>
      <c r="G58" s="12">
        <v>45777</v>
      </c>
      <c r="H58" s="10" t="s">
        <v>25</v>
      </c>
      <c r="I58" s="11">
        <v>76</v>
      </c>
      <c r="J58" s="11">
        <v>26</v>
      </c>
      <c r="K58" s="10" t="s">
        <v>112</v>
      </c>
      <c r="L58" s="13" t="s">
        <v>12</v>
      </c>
    </row>
    <row r="59" spans="2:12" x14ac:dyDescent="0.3">
      <c r="B59" s="9">
        <v>7108125464</v>
      </c>
      <c r="C59" s="10" t="s">
        <v>113</v>
      </c>
      <c r="D59" s="10" t="s">
        <v>250</v>
      </c>
      <c r="E59" s="10">
        <v>1</v>
      </c>
      <c r="F59" s="11">
        <v>39.799999999999997</v>
      </c>
      <c r="G59" s="12">
        <v>45769</v>
      </c>
      <c r="H59" s="10" t="s">
        <v>17</v>
      </c>
      <c r="I59" s="11">
        <v>67</v>
      </c>
      <c r="J59" s="11">
        <v>15</v>
      </c>
      <c r="K59" s="10" t="s">
        <v>34</v>
      </c>
      <c r="L59" s="13" t="s">
        <v>12</v>
      </c>
    </row>
    <row r="60" spans="2:12" x14ac:dyDescent="0.3">
      <c r="B60" s="9">
        <v>6055727313</v>
      </c>
      <c r="C60" s="10" t="s">
        <v>114</v>
      </c>
      <c r="D60" s="10" t="s">
        <v>229</v>
      </c>
      <c r="E60" s="10">
        <v>1</v>
      </c>
      <c r="F60" s="11">
        <v>56.3</v>
      </c>
      <c r="G60" s="12">
        <v>45759</v>
      </c>
      <c r="H60" s="10" t="s">
        <v>17</v>
      </c>
      <c r="I60" s="11">
        <v>38</v>
      </c>
      <c r="J60" s="11">
        <v>15</v>
      </c>
      <c r="K60" s="10" t="s">
        <v>85</v>
      </c>
      <c r="L60" s="13" t="s">
        <v>15</v>
      </c>
    </row>
    <row r="61" spans="2:12" x14ac:dyDescent="0.3">
      <c r="B61" s="9">
        <v>4801232720</v>
      </c>
      <c r="C61" s="10" t="s">
        <v>115</v>
      </c>
      <c r="D61" s="10" t="s">
        <v>197</v>
      </c>
      <c r="E61" s="10">
        <v>1</v>
      </c>
      <c r="F61" s="11">
        <v>48.4</v>
      </c>
      <c r="G61" s="12">
        <v>45765</v>
      </c>
      <c r="H61" s="10" t="s">
        <v>10</v>
      </c>
      <c r="I61" s="11">
        <v>43</v>
      </c>
      <c r="J61" s="11">
        <v>26</v>
      </c>
      <c r="K61" s="10" t="s">
        <v>116</v>
      </c>
      <c r="L61" s="13" t="s">
        <v>15</v>
      </c>
    </row>
    <row r="62" spans="2:12" x14ac:dyDescent="0.3">
      <c r="B62" s="9">
        <v>2068244871</v>
      </c>
      <c r="C62" s="10" t="s">
        <v>117</v>
      </c>
      <c r="D62" s="10" t="s">
        <v>198</v>
      </c>
      <c r="E62" s="10">
        <v>1</v>
      </c>
      <c r="F62" s="11">
        <v>58.3</v>
      </c>
      <c r="G62" s="12">
        <v>45764</v>
      </c>
      <c r="H62" s="10" t="s">
        <v>25</v>
      </c>
      <c r="I62" s="11">
        <v>88</v>
      </c>
      <c r="J62" s="11">
        <v>19</v>
      </c>
      <c r="K62" s="10" t="s">
        <v>118</v>
      </c>
      <c r="L62" s="13" t="s">
        <v>19</v>
      </c>
    </row>
    <row r="63" spans="2:12" x14ac:dyDescent="0.3">
      <c r="B63" s="9">
        <v>3732346383</v>
      </c>
      <c r="C63" s="10" t="s">
        <v>119</v>
      </c>
      <c r="D63" s="10" t="s">
        <v>214</v>
      </c>
      <c r="E63" s="10">
        <v>1</v>
      </c>
      <c r="F63" s="11">
        <v>47.7</v>
      </c>
      <c r="G63" s="12">
        <v>45770</v>
      </c>
      <c r="H63" s="10" t="s">
        <v>17</v>
      </c>
      <c r="I63" s="11">
        <v>92</v>
      </c>
      <c r="J63" s="11">
        <v>13</v>
      </c>
      <c r="K63" s="10" t="s">
        <v>34</v>
      </c>
      <c r="L63" s="13" t="s">
        <v>12</v>
      </c>
    </row>
    <row r="64" spans="2:12" x14ac:dyDescent="0.3">
      <c r="B64" s="9">
        <v>5803473331</v>
      </c>
      <c r="C64" s="10" t="s">
        <v>120</v>
      </c>
      <c r="D64" s="10" t="s">
        <v>199</v>
      </c>
      <c r="E64" s="10">
        <v>1</v>
      </c>
      <c r="F64" s="11">
        <v>58.3</v>
      </c>
      <c r="G64" s="12">
        <v>45761</v>
      </c>
      <c r="H64" s="10" t="s">
        <v>10</v>
      </c>
      <c r="I64" s="11">
        <v>90</v>
      </c>
      <c r="J64" s="11">
        <v>14</v>
      </c>
      <c r="K64" s="10" t="s">
        <v>121</v>
      </c>
      <c r="L64" s="13" t="s">
        <v>15</v>
      </c>
    </row>
    <row r="65" spans="2:12" x14ac:dyDescent="0.3">
      <c r="B65" s="9">
        <v>6793208824</v>
      </c>
      <c r="C65" s="10" t="s">
        <v>122</v>
      </c>
      <c r="D65" s="10" t="s">
        <v>217</v>
      </c>
      <c r="E65" s="10">
        <v>1</v>
      </c>
      <c r="F65" s="11">
        <v>23.5</v>
      </c>
      <c r="G65" s="12">
        <v>45768</v>
      </c>
      <c r="H65" s="10" t="s">
        <v>25</v>
      </c>
      <c r="I65" s="11">
        <v>63</v>
      </c>
      <c r="J65" s="11">
        <v>27</v>
      </c>
      <c r="K65" s="10" t="s">
        <v>54</v>
      </c>
      <c r="L65" s="13" t="s">
        <v>19</v>
      </c>
    </row>
    <row r="66" spans="2:12" x14ac:dyDescent="0.3">
      <c r="B66" s="9">
        <v>2832761200</v>
      </c>
      <c r="C66" s="10" t="s">
        <v>123</v>
      </c>
      <c r="D66" s="10" t="s">
        <v>209</v>
      </c>
      <c r="E66" s="10">
        <v>1</v>
      </c>
      <c r="F66" s="11">
        <v>41.5</v>
      </c>
      <c r="G66" s="12">
        <v>45774</v>
      </c>
      <c r="H66" s="10" t="s">
        <v>10</v>
      </c>
      <c r="I66" s="11">
        <v>87</v>
      </c>
      <c r="J66" s="11">
        <v>23</v>
      </c>
      <c r="K66" s="10" t="s">
        <v>23</v>
      </c>
      <c r="L66" s="13" t="s">
        <v>12</v>
      </c>
    </row>
    <row r="67" spans="2:12" x14ac:dyDescent="0.3">
      <c r="B67" s="9">
        <v>9106147166</v>
      </c>
      <c r="C67" s="10" t="s">
        <v>124</v>
      </c>
      <c r="D67" s="10" t="s">
        <v>185</v>
      </c>
      <c r="E67" s="10">
        <v>1</v>
      </c>
      <c r="F67" s="11">
        <v>16.399999999999999</v>
      </c>
      <c r="G67" s="12">
        <v>45762</v>
      </c>
      <c r="H67" s="10" t="s">
        <v>17</v>
      </c>
      <c r="I67" s="11">
        <v>52</v>
      </c>
      <c r="J67" s="11">
        <v>16</v>
      </c>
      <c r="K67" s="10" t="s">
        <v>34</v>
      </c>
      <c r="L67" s="13" t="s">
        <v>15</v>
      </c>
    </row>
    <row r="68" spans="2:12" x14ac:dyDescent="0.3">
      <c r="B68" s="9">
        <v>1445696773</v>
      </c>
      <c r="C68" s="10" t="s">
        <v>125</v>
      </c>
      <c r="D68" s="10" t="s">
        <v>181</v>
      </c>
      <c r="E68" s="10">
        <v>1</v>
      </c>
      <c r="F68" s="11">
        <v>44.6</v>
      </c>
      <c r="G68" s="12">
        <v>45762</v>
      </c>
      <c r="H68" s="10" t="s">
        <v>25</v>
      </c>
      <c r="I68" s="11">
        <v>41</v>
      </c>
      <c r="J68" s="11">
        <v>29</v>
      </c>
      <c r="K68" s="10" t="s">
        <v>11</v>
      </c>
      <c r="L68" s="13" t="s">
        <v>15</v>
      </c>
    </row>
    <row r="69" spans="2:12" x14ac:dyDescent="0.3">
      <c r="B69" s="9">
        <v>8627113815</v>
      </c>
      <c r="C69" s="10" t="s">
        <v>126</v>
      </c>
      <c r="D69" s="10" t="s">
        <v>253</v>
      </c>
      <c r="E69" s="10">
        <v>1</v>
      </c>
      <c r="F69" s="11">
        <v>17.5</v>
      </c>
      <c r="G69" s="12">
        <v>45774</v>
      </c>
      <c r="H69" s="10" t="s">
        <v>10</v>
      </c>
      <c r="I69" s="11">
        <v>27</v>
      </c>
      <c r="J69" s="11">
        <v>30</v>
      </c>
      <c r="K69" s="10" t="s">
        <v>50</v>
      </c>
      <c r="L69" s="13" t="s">
        <v>15</v>
      </c>
    </row>
    <row r="70" spans="2:12" x14ac:dyDescent="0.3">
      <c r="B70" s="9">
        <v>1919405843</v>
      </c>
      <c r="C70" s="10" t="s">
        <v>127</v>
      </c>
      <c r="D70" s="10" t="s">
        <v>254</v>
      </c>
      <c r="E70" s="10">
        <v>1</v>
      </c>
      <c r="F70" s="11">
        <v>28.8</v>
      </c>
      <c r="G70" s="12">
        <v>45773</v>
      </c>
      <c r="H70" s="10" t="s">
        <v>25</v>
      </c>
      <c r="I70" s="11">
        <v>37</v>
      </c>
      <c r="J70" s="11">
        <v>23</v>
      </c>
      <c r="K70" s="10" t="s">
        <v>128</v>
      </c>
      <c r="L70" s="13" t="s">
        <v>12</v>
      </c>
    </row>
    <row r="71" spans="2:12" x14ac:dyDescent="0.3">
      <c r="B71" s="9">
        <v>6265566634</v>
      </c>
      <c r="C71" s="10" t="s">
        <v>129</v>
      </c>
      <c r="D71" s="10" t="s">
        <v>255</v>
      </c>
      <c r="E71" s="10">
        <v>1</v>
      </c>
      <c r="F71" s="11">
        <v>45.8</v>
      </c>
      <c r="G71" s="12">
        <v>45770</v>
      </c>
      <c r="H71" s="10" t="s">
        <v>17</v>
      </c>
      <c r="I71" s="11">
        <v>32</v>
      </c>
      <c r="J71" s="11">
        <v>11</v>
      </c>
      <c r="K71" s="10" t="s">
        <v>130</v>
      </c>
      <c r="L71" s="13" t="s">
        <v>32</v>
      </c>
    </row>
    <row r="72" spans="2:12" x14ac:dyDescent="0.3">
      <c r="B72" s="9">
        <v>1429345833</v>
      </c>
      <c r="C72" s="10" t="s">
        <v>131</v>
      </c>
      <c r="D72" s="10" t="s">
        <v>200</v>
      </c>
      <c r="E72" s="10">
        <v>1</v>
      </c>
      <c r="F72" s="11">
        <v>45.8</v>
      </c>
      <c r="G72" s="12">
        <v>45770</v>
      </c>
      <c r="H72" s="10" t="s">
        <v>10</v>
      </c>
      <c r="I72" s="11">
        <v>89</v>
      </c>
      <c r="J72" s="11">
        <v>27</v>
      </c>
      <c r="K72" s="10" t="s">
        <v>132</v>
      </c>
      <c r="L72" s="13" t="s">
        <v>27</v>
      </c>
    </row>
    <row r="73" spans="2:12" x14ac:dyDescent="0.3">
      <c r="B73" s="9">
        <v>7199820024</v>
      </c>
      <c r="C73" s="10" t="s">
        <v>133</v>
      </c>
      <c r="D73" s="10" t="s">
        <v>226</v>
      </c>
      <c r="E73" s="10">
        <v>1</v>
      </c>
      <c r="F73" s="11">
        <v>27.5</v>
      </c>
      <c r="G73" s="12">
        <v>45772</v>
      </c>
      <c r="H73" s="10" t="s">
        <v>10</v>
      </c>
      <c r="I73" s="11">
        <v>77</v>
      </c>
      <c r="J73" s="11">
        <v>18</v>
      </c>
      <c r="K73" s="10" t="s">
        <v>92</v>
      </c>
      <c r="L73" s="13" t="s">
        <v>19</v>
      </c>
    </row>
    <row r="74" spans="2:12" x14ac:dyDescent="0.3">
      <c r="B74" s="9">
        <v>8904437408</v>
      </c>
      <c r="C74" s="10" t="s">
        <v>134</v>
      </c>
      <c r="D74" s="10" t="s">
        <v>230</v>
      </c>
      <c r="E74" s="10">
        <v>1</v>
      </c>
      <c r="F74" s="11">
        <v>41.3</v>
      </c>
      <c r="G74" s="12">
        <v>45760</v>
      </c>
      <c r="H74" s="10" t="s">
        <v>10</v>
      </c>
      <c r="I74" s="11">
        <v>23</v>
      </c>
      <c r="J74" s="11">
        <v>14</v>
      </c>
      <c r="K74" s="10" t="s">
        <v>135</v>
      </c>
      <c r="L74" s="13" t="s">
        <v>32</v>
      </c>
    </row>
    <row r="75" spans="2:12" x14ac:dyDescent="0.3">
      <c r="B75" s="9">
        <v>1057550742</v>
      </c>
      <c r="C75" s="10" t="s">
        <v>136</v>
      </c>
      <c r="D75" s="10" t="s">
        <v>231</v>
      </c>
      <c r="E75" s="10">
        <v>1</v>
      </c>
      <c r="F75" s="11">
        <v>46.4</v>
      </c>
      <c r="G75" s="12">
        <v>45768</v>
      </c>
      <c r="H75" s="10" t="s">
        <v>25</v>
      </c>
      <c r="I75" s="11">
        <v>59</v>
      </c>
      <c r="J75" s="11">
        <v>12</v>
      </c>
      <c r="K75" s="10" t="s">
        <v>50</v>
      </c>
      <c r="L75" s="13" t="s">
        <v>27</v>
      </c>
    </row>
    <row r="76" spans="2:12" x14ac:dyDescent="0.3">
      <c r="B76" s="9">
        <v>6881241689</v>
      </c>
      <c r="C76" s="10" t="s">
        <v>137</v>
      </c>
      <c r="D76" s="10" t="s">
        <v>201</v>
      </c>
      <c r="E76" s="10">
        <v>1</v>
      </c>
      <c r="F76" s="11">
        <v>45.3</v>
      </c>
      <c r="G76" s="12">
        <v>45766</v>
      </c>
      <c r="H76" s="10" t="s">
        <v>25</v>
      </c>
      <c r="I76" s="11">
        <v>22</v>
      </c>
      <c r="J76" s="11">
        <v>13</v>
      </c>
      <c r="K76" s="10" t="s">
        <v>54</v>
      </c>
      <c r="L76" s="13" t="s">
        <v>19</v>
      </c>
    </row>
    <row r="77" spans="2:12" x14ac:dyDescent="0.3">
      <c r="B77" s="9">
        <v>3154887243</v>
      </c>
      <c r="C77" s="10" t="s">
        <v>138</v>
      </c>
      <c r="D77" s="10" t="s">
        <v>222</v>
      </c>
      <c r="E77" s="10">
        <v>1</v>
      </c>
      <c r="F77" s="11">
        <v>53.1</v>
      </c>
      <c r="G77" s="12">
        <v>45761</v>
      </c>
      <c r="H77" s="10" t="s">
        <v>10</v>
      </c>
      <c r="I77" s="11">
        <v>34</v>
      </c>
      <c r="J77" s="11">
        <v>15</v>
      </c>
      <c r="K77" s="10" t="s">
        <v>81</v>
      </c>
      <c r="L77" s="13" t="s">
        <v>15</v>
      </c>
    </row>
    <row r="78" spans="2:12" x14ac:dyDescent="0.3">
      <c r="B78" s="9">
        <v>9114238907</v>
      </c>
      <c r="C78" s="10" t="s">
        <v>139</v>
      </c>
      <c r="D78" s="10" t="s">
        <v>256</v>
      </c>
      <c r="E78" s="10">
        <v>1</v>
      </c>
      <c r="F78" s="11">
        <v>29.5</v>
      </c>
      <c r="G78" s="12">
        <v>45758</v>
      </c>
      <c r="H78" s="10" t="s">
        <v>10</v>
      </c>
      <c r="I78" s="11">
        <v>99</v>
      </c>
      <c r="J78" s="11">
        <v>14</v>
      </c>
      <c r="K78" s="10" t="s">
        <v>26</v>
      </c>
      <c r="L78" s="13" t="s">
        <v>12</v>
      </c>
    </row>
    <row r="79" spans="2:12" x14ac:dyDescent="0.3">
      <c r="B79" s="9">
        <v>8729340663</v>
      </c>
      <c r="C79" s="10" t="s">
        <v>140</v>
      </c>
      <c r="D79" s="10" t="s">
        <v>257</v>
      </c>
      <c r="E79" s="10">
        <v>1</v>
      </c>
      <c r="F79" s="11">
        <v>48.8</v>
      </c>
      <c r="G79" s="12">
        <v>45759</v>
      </c>
      <c r="H79" s="10" t="s">
        <v>25</v>
      </c>
      <c r="I79" s="11">
        <v>51</v>
      </c>
      <c r="J79" s="11">
        <v>18</v>
      </c>
      <c r="K79" s="10" t="s">
        <v>141</v>
      </c>
      <c r="L79" s="13" t="s">
        <v>19</v>
      </c>
    </row>
    <row r="80" spans="2:12" x14ac:dyDescent="0.3">
      <c r="B80" s="9">
        <v>2925075661</v>
      </c>
      <c r="C80" s="10" t="s">
        <v>142</v>
      </c>
      <c r="D80" s="10" t="s">
        <v>216</v>
      </c>
      <c r="E80" s="10">
        <v>1</v>
      </c>
      <c r="F80" s="11">
        <v>45.3</v>
      </c>
      <c r="G80" s="12">
        <v>45761</v>
      </c>
      <c r="H80" s="10" t="s">
        <v>10</v>
      </c>
      <c r="I80" s="11">
        <v>29</v>
      </c>
      <c r="J80" s="11">
        <v>11</v>
      </c>
      <c r="K80" s="10" t="s">
        <v>52</v>
      </c>
      <c r="L80" s="13" t="s">
        <v>19</v>
      </c>
    </row>
    <row r="81" spans="2:12" x14ac:dyDescent="0.3">
      <c r="B81" s="9">
        <v>8671994670</v>
      </c>
      <c r="C81" s="10" t="s">
        <v>143</v>
      </c>
      <c r="D81" s="10" t="s">
        <v>202</v>
      </c>
      <c r="E81" s="10">
        <v>1</v>
      </c>
      <c r="F81" s="11">
        <v>42.1</v>
      </c>
      <c r="G81" s="12">
        <v>45772</v>
      </c>
      <c r="H81" s="10" t="s">
        <v>17</v>
      </c>
      <c r="I81" s="11">
        <v>98</v>
      </c>
      <c r="J81" s="11">
        <v>24</v>
      </c>
      <c r="K81" s="10" t="s">
        <v>144</v>
      </c>
      <c r="L81" s="13" t="s">
        <v>32</v>
      </c>
    </row>
    <row r="82" spans="2:12" x14ac:dyDescent="0.3">
      <c r="B82" s="9">
        <v>1476530563</v>
      </c>
      <c r="C82" s="10" t="s">
        <v>145</v>
      </c>
      <c r="D82" s="10" t="s">
        <v>258</v>
      </c>
      <c r="E82" s="10">
        <v>1</v>
      </c>
      <c r="F82" s="11">
        <v>16.7</v>
      </c>
      <c r="G82" s="12">
        <v>45771</v>
      </c>
      <c r="H82" s="10" t="s">
        <v>10</v>
      </c>
      <c r="I82" s="11">
        <v>76</v>
      </c>
      <c r="J82" s="11">
        <v>12</v>
      </c>
      <c r="K82" s="10" t="s">
        <v>48</v>
      </c>
      <c r="L82" s="13" t="s">
        <v>12</v>
      </c>
    </row>
    <row r="83" spans="2:12" x14ac:dyDescent="0.3">
      <c r="B83" s="9">
        <v>2593249747</v>
      </c>
      <c r="C83" s="10" t="s">
        <v>146</v>
      </c>
      <c r="D83" s="10" t="s">
        <v>232</v>
      </c>
      <c r="E83" s="10">
        <v>1</v>
      </c>
      <c r="F83" s="11">
        <v>39.6</v>
      </c>
      <c r="G83" s="12">
        <v>45773</v>
      </c>
      <c r="H83" s="10" t="s">
        <v>10</v>
      </c>
      <c r="I83" s="11">
        <v>41</v>
      </c>
      <c r="J83" s="11">
        <v>22</v>
      </c>
      <c r="K83" s="10" t="s">
        <v>147</v>
      </c>
      <c r="L83" s="13" t="s">
        <v>19</v>
      </c>
    </row>
    <row r="84" spans="2:12" x14ac:dyDescent="0.3">
      <c r="B84" s="9">
        <v>7761187311</v>
      </c>
      <c r="C84" s="10" t="s">
        <v>148</v>
      </c>
      <c r="D84" s="10" t="s">
        <v>203</v>
      </c>
      <c r="E84" s="10">
        <v>1</v>
      </c>
      <c r="F84" s="11">
        <v>31.5</v>
      </c>
      <c r="G84" s="12">
        <v>45777</v>
      </c>
      <c r="H84" s="10" t="s">
        <v>25</v>
      </c>
      <c r="I84" s="11">
        <v>32</v>
      </c>
      <c r="J84" s="11">
        <v>15</v>
      </c>
      <c r="K84" s="10" t="s">
        <v>112</v>
      </c>
      <c r="L84" s="13" t="s">
        <v>19</v>
      </c>
    </row>
    <row r="85" spans="2:12" x14ac:dyDescent="0.3">
      <c r="B85" s="9">
        <v>4443577456</v>
      </c>
      <c r="C85" s="10" t="s">
        <v>149</v>
      </c>
      <c r="D85" s="10" t="s">
        <v>204</v>
      </c>
      <c r="E85" s="10">
        <v>1</v>
      </c>
      <c r="F85" s="11">
        <v>56.6</v>
      </c>
      <c r="G85" s="12">
        <v>45765</v>
      </c>
      <c r="H85" s="10" t="s">
        <v>25</v>
      </c>
      <c r="I85" s="11">
        <v>25</v>
      </c>
      <c r="J85" s="11">
        <v>16</v>
      </c>
      <c r="K85" s="10" t="s">
        <v>108</v>
      </c>
      <c r="L85" s="13" t="s">
        <v>32</v>
      </c>
    </row>
    <row r="86" spans="2:12" x14ac:dyDescent="0.3">
      <c r="B86" s="9">
        <v>4174959585</v>
      </c>
      <c r="C86" s="10" t="s">
        <v>150</v>
      </c>
      <c r="D86" s="10" t="s">
        <v>259</v>
      </c>
      <c r="E86" s="10">
        <v>1</v>
      </c>
      <c r="F86" s="11">
        <v>51.8</v>
      </c>
      <c r="G86" s="12">
        <v>45764</v>
      </c>
      <c r="H86" s="10" t="s">
        <v>17</v>
      </c>
      <c r="I86" s="11">
        <v>86</v>
      </c>
      <c r="J86" s="11">
        <v>20</v>
      </c>
      <c r="K86" s="10" t="s">
        <v>87</v>
      </c>
      <c r="L86" s="13" t="s">
        <v>27</v>
      </c>
    </row>
    <row r="87" spans="2:12" x14ac:dyDescent="0.3">
      <c r="B87" s="9">
        <v>6825887245</v>
      </c>
      <c r="C87" s="10" t="s">
        <v>151</v>
      </c>
      <c r="D87" s="10" t="s">
        <v>233</v>
      </c>
      <c r="E87" s="10">
        <v>1</v>
      </c>
      <c r="F87" s="11">
        <v>55.7</v>
      </c>
      <c r="G87" s="12">
        <v>45775</v>
      </c>
      <c r="H87" s="10" t="s">
        <v>10</v>
      </c>
      <c r="I87" s="11">
        <v>35</v>
      </c>
      <c r="J87" s="11">
        <v>16</v>
      </c>
      <c r="K87" s="10" t="s">
        <v>152</v>
      </c>
      <c r="L87" s="13" t="s">
        <v>32</v>
      </c>
    </row>
    <row r="88" spans="2:12" x14ac:dyDescent="0.3">
      <c r="B88" s="9">
        <v>7970331745</v>
      </c>
      <c r="C88" s="10" t="s">
        <v>153</v>
      </c>
      <c r="D88" s="10" t="s">
        <v>234</v>
      </c>
      <c r="E88" s="10">
        <v>1</v>
      </c>
      <c r="F88" s="11">
        <v>50.4</v>
      </c>
      <c r="G88" s="12">
        <v>45772</v>
      </c>
      <c r="H88" s="10" t="s">
        <v>25</v>
      </c>
      <c r="I88" s="11">
        <v>35</v>
      </c>
      <c r="J88" s="11">
        <v>17</v>
      </c>
      <c r="K88" s="10" t="s">
        <v>154</v>
      </c>
      <c r="L88" s="13" t="s">
        <v>27</v>
      </c>
    </row>
    <row r="89" spans="2:12" x14ac:dyDescent="0.3">
      <c r="B89" s="9">
        <v>5069515732</v>
      </c>
      <c r="C89" s="10" t="s">
        <v>155</v>
      </c>
      <c r="D89" s="10" t="s">
        <v>235</v>
      </c>
      <c r="E89" s="10">
        <v>1</v>
      </c>
      <c r="F89" s="11">
        <v>55.5</v>
      </c>
      <c r="G89" s="12">
        <v>45758</v>
      </c>
      <c r="H89" s="10" t="s">
        <v>10</v>
      </c>
      <c r="I89" s="11">
        <v>78</v>
      </c>
      <c r="J89" s="11">
        <v>20</v>
      </c>
      <c r="K89" s="10" t="s">
        <v>108</v>
      </c>
      <c r="L89" s="13" t="s">
        <v>15</v>
      </c>
    </row>
    <row r="90" spans="2:12" x14ac:dyDescent="0.3">
      <c r="B90" s="9">
        <v>9899659755</v>
      </c>
      <c r="C90" s="10" t="s">
        <v>156</v>
      </c>
      <c r="D90" s="10" t="s">
        <v>260</v>
      </c>
      <c r="E90" s="10">
        <v>1</v>
      </c>
      <c r="F90" s="11">
        <v>19.3</v>
      </c>
      <c r="G90" s="12">
        <v>45757</v>
      </c>
      <c r="H90" s="10" t="s">
        <v>17</v>
      </c>
      <c r="I90" s="11">
        <v>97</v>
      </c>
      <c r="J90" s="11">
        <v>12</v>
      </c>
      <c r="K90" s="10" t="s">
        <v>157</v>
      </c>
      <c r="L90" s="13" t="s">
        <v>15</v>
      </c>
    </row>
    <row r="91" spans="2:12" x14ac:dyDescent="0.3">
      <c r="B91" s="9">
        <v>5012665530</v>
      </c>
      <c r="C91" s="10" t="s">
        <v>158</v>
      </c>
      <c r="D91" s="10" t="s">
        <v>236</v>
      </c>
      <c r="E91" s="10">
        <v>1</v>
      </c>
      <c r="F91" s="11">
        <v>19.8</v>
      </c>
      <c r="G91" s="12">
        <v>45770</v>
      </c>
      <c r="H91" s="10" t="s">
        <v>25</v>
      </c>
      <c r="I91" s="11">
        <v>63</v>
      </c>
      <c r="J91" s="11">
        <v>27</v>
      </c>
      <c r="K91" s="10" t="s">
        <v>97</v>
      </c>
      <c r="L91" s="13" t="s">
        <v>12</v>
      </c>
    </row>
    <row r="92" spans="2:12" x14ac:dyDescent="0.3">
      <c r="B92" s="9">
        <v>1402991327</v>
      </c>
      <c r="C92" s="10" t="s">
        <v>159</v>
      </c>
      <c r="D92" s="10" t="s">
        <v>189</v>
      </c>
      <c r="E92" s="10">
        <v>1</v>
      </c>
      <c r="F92" s="11">
        <v>33.799999999999997</v>
      </c>
      <c r="G92" s="12">
        <v>45773</v>
      </c>
      <c r="H92" s="10" t="s">
        <v>10</v>
      </c>
      <c r="I92" s="11">
        <v>85</v>
      </c>
      <c r="J92" s="11">
        <v>15</v>
      </c>
      <c r="K92" s="10" t="s">
        <v>56</v>
      </c>
      <c r="L92" s="13" t="s">
        <v>32</v>
      </c>
    </row>
    <row r="93" spans="2:12" x14ac:dyDescent="0.3">
      <c r="B93" s="9">
        <v>7164124904</v>
      </c>
      <c r="C93" s="10" t="s">
        <v>160</v>
      </c>
      <c r="D93" s="10" t="s">
        <v>258</v>
      </c>
      <c r="E93" s="10">
        <v>1</v>
      </c>
      <c r="F93" s="11">
        <v>55.6</v>
      </c>
      <c r="G93" s="12">
        <v>45761</v>
      </c>
      <c r="H93" s="10" t="s">
        <v>10</v>
      </c>
      <c r="I93" s="11">
        <v>42</v>
      </c>
      <c r="J93" s="11">
        <v>12</v>
      </c>
      <c r="K93" s="10" t="s">
        <v>48</v>
      </c>
      <c r="L93" s="13" t="s">
        <v>27</v>
      </c>
    </row>
    <row r="94" spans="2:12" x14ac:dyDescent="0.3">
      <c r="B94" s="9">
        <v>2912430686</v>
      </c>
      <c r="C94" s="10" t="s">
        <v>161</v>
      </c>
      <c r="D94" s="10" t="s">
        <v>249</v>
      </c>
      <c r="E94" s="10">
        <v>1</v>
      </c>
      <c r="F94" s="11">
        <v>20.9</v>
      </c>
      <c r="G94" s="12">
        <v>45761</v>
      </c>
      <c r="H94" s="10" t="s">
        <v>25</v>
      </c>
      <c r="I94" s="11">
        <v>97</v>
      </c>
      <c r="J94" s="11">
        <v>22</v>
      </c>
      <c r="K94" s="10" t="s">
        <v>83</v>
      </c>
      <c r="L94" s="13" t="s">
        <v>19</v>
      </c>
    </row>
    <row r="95" spans="2:12" x14ac:dyDescent="0.3">
      <c r="B95" s="9">
        <v>5204358538</v>
      </c>
      <c r="C95" s="10" t="s">
        <v>162</v>
      </c>
      <c r="D95" s="10" t="s">
        <v>261</v>
      </c>
      <c r="E95" s="10">
        <v>1</v>
      </c>
      <c r="F95" s="11">
        <v>43.4</v>
      </c>
      <c r="G95" s="12">
        <v>45776</v>
      </c>
      <c r="H95" s="10" t="s">
        <v>17</v>
      </c>
      <c r="I95" s="11">
        <v>44</v>
      </c>
      <c r="J95" s="11">
        <v>19</v>
      </c>
      <c r="K95" s="10" t="s">
        <v>90</v>
      </c>
      <c r="L95" s="13" t="s">
        <v>12</v>
      </c>
    </row>
    <row r="96" spans="2:12" x14ac:dyDescent="0.3">
      <c r="B96" s="9">
        <v>5442802738</v>
      </c>
      <c r="C96" s="10" t="s">
        <v>163</v>
      </c>
      <c r="D96" s="10" t="s">
        <v>205</v>
      </c>
      <c r="E96" s="10">
        <v>1</v>
      </c>
      <c r="F96" s="11">
        <v>36.299999999999997</v>
      </c>
      <c r="G96" s="12">
        <v>45758</v>
      </c>
      <c r="H96" s="10" t="s">
        <v>10</v>
      </c>
      <c r="I96" s="11">
        <v>22</v>
      </c>
      <c r="J96" s="11">
        <v>21</v>
      </c>
      <c r="K96" s="10" t="s">
        <v>97</v>
      </c>
      <c r="L96" s="13" t="s">
        <v>15</v>
      </c>
    </row>
    <row r="97" spans="2:12" x14ac:dyDescent="0.3">
      <c r="B97" s="9">
        <v>5115928132</v>
      </c>
      <c r="C97" s="10" t="s">
        <v>164</v>
      </c>
      <c r="D97" s="10" t="s">
        <v>243</v>
      </c>
      <c r="E97" s="10">
        <v>1</v>
      </c>
      <c r="F97" s="11">
        <v>43.2</v>
      </c>
      <c r="G97" s="12">
        <v>45766</v>
      </c>
      <c r="H97" s="10" t="s">
        <v>10</v>
      </c>
      <c r="I97" s="11">
        <v>76</v>
      </c>
      <c r="J97" s="11">
        <v>18</v>
      </c>
      <c r="K97" s="10" t="s">
        <v>79</v>
      </c>
      <c r="L97" s="13" t="s">
        <v>32</v>
      </c>
    </row>
    <row r="98" spans="2:12" x14ac:dyDescent="0.3">
      <c r="B98" s="9">
        <v>9483853306</v>
      </c>
      <c r="C98" s="10" t="s">
        <v>165</v>
      </c>
      <c r="D98" s="10" t="s">
        <v>262</v>
      </c>
      <c r="E98" s="10">
        <v>1</v>
      </c>
      <c r="F98" s="11">
        <v>26.1</v>
      </c>
      <c r="G98" s="12">
        <v>45775</v>
      </c>
      <c r="H98" s="10" t="s">
        <v>10</v>
      </c>
      <c r="I98" s="11">
        <v>37</v>
      </c>
      <c r="J98" s="11">
        <v>21</v>
      </c>
      <c r="K98" s="10" t="s">
        <v>166</v>
      </c>
      <c r="L98" s="13" t="s">
        <v>15</v>
      </c>
    </row>
    <row r="99" spans="2:12" x14ac:dyDescent="0.3">
      <c r="B99" s="9">
        <v>4319579638</v>
      </c>
      <c r="C99" s="10" t="s">
        <v>167</v>
      </c>
      <c r="D99" s="10" t="s">
        <v>206</v>
      </c>
      <c r="E99" s="10">
        <v>1</v>
      </c>
      <c r="F99" s="11">
        <v>29.4</v>
      </c>
      <c r="G99" s="12">
        <v>45775</v>
      </c>
      <c r="H99" s="10" t="s">
        <v>10</v>
      </c>
      <c r="I99" s="11">
        <v>56</v>
      </c>
      <c r="J99" s="11">
        <v>11</v>
      </c>
      <c r="K99" s="10" t="s">
        <v>128</v>
      </c>
      <c r="L99" s="13" t="s">
        <v>19</v>
      </c>
    </row>
    <row r="100" spans="2:12" x14ac:dyDescent="0.3">
      <c r="B100" s="9">
        <v>2533510230</v>
      </c>
      <c r="C100" s="10" t="s">
        <v>168</v>
      </c>
      <c r="D100" s="10" t="s">
        <v>207</v>
      </c>
      <c r="E100" s="10">
        <v>1</v>
      </c>
      <c r="F100" s="11">
        <v>39.5</v>
      </c>
      <c r="G100" s="12">
        <v>45772</v>
      </c>
      <c r="H100" s="10" t="s">
        <v>25</v>
      </c>
      <c r="I100" s="11">
        <v>89</v>
      </c>
      <c r="J100" s="11">
        <v>20</v>
      </c>
      <c r="K100" s="10" t="s">
        <v>169</v>
      </c>
      <c r="L100" s="13" t="s">
        <v>32</v>
      </c>
    </row>
    <row r="101" spans="2:12" x14ac:dyDescent="0.3">
      <c r="B101" s="9">
        <v>3044929118</v>
      </c>
      <c r="C101" s="10" t="s">
        <v>170</v>
      </c>
      <c r="D101" s="10" t="s">
        <v>237</v>
      </c>
      <c r="E101" s="10">
        <v>1</v>
      </c>
      <c r="F101" s="11">
        <v>13.5</v>
      </c>
      <c r="G101" s="12">
        <v>45765</v>
      </c>
      <c r="H101" s="10" t="s">
        <v>17</v>
      </c>
      <c r="I101" s="11">
        <v>89</v>
      </c>
      <c r="J101" s="11">
        <v>16</v>
      </c>
      <c r="K101" s="10" t="s">
        <v>56</v>
      </c>
      <c r="L101" s="13" t="s">
        <v>27</v>
      </c>
    </row>
    <row r="102" spans="2:12" x14ac:dyDescent="0.3">
      <c r="B102" s="9">
        <v>7595400160</v>
      </c>
      <c r="C102" s="10" t="s">
        <v>171</v>
      </c>
      <c r="D102" s="10" t="s">
        <v>263</v>
      </c>
      <c r="E102" s="10">
        <v>1</v>
      </c>
      <c r="F102" s="11">
        <v>19.600000000000001</v>
      </c>
      <c r="G102" s="12">
        <v>45763</v>
      </c>
      <c r="H102" s="10" t="s">
        <v>25</v>
      </c>
      <c r="I102" s="11">
        <v>76</v>
      </c>
      <c r="J102" s="11">
        <v>17</v>
      </c>
      <c r="K102" s="10" t="s">
        <v>62</v>
      </c>
      <c r="L102" s="13" t="s">
        <v>19</v>
      </c>
    </row>
    <row r="103" spans="2:12" x14ac:dyDescent="0.3">
      <c r="B103" s="9">
        <v>3129537165</v>
      </c>
      <c r="C103" s="10" t="s">
        <v>172</v>
      </c>
      <c r="D103" s="10" t="s">
        <v>264</v>
      </c>
      <c r="E103" s="10">
        <v>1</v>
      </c>
      <c r="F103" s="11">
        <v>38.1</v>
      </c>
      <c r="G103" s="12">
        <v>45770</v>
      </c>
      <c r="H103" s="10" t="s">
        <v>25</v>
      </c>
      <c r="I103" s="11">
        <v>59</v>
      </c>
      <c r="J103" s="11">
        <v>17</v>
      </c>
      <c r="K103" s="10" t="s">
        <v>169</v>
      </c>
      <c r="L103" s="13" t="s">
        <v>15</v>
      </c>
    </row>
    <row r="104" spans="2:12" x14ac:dyDescent="0.3">
      <c r="B104" s="14">
        <v>8509378705</v>
      </c>
      <c r="C104" s="15" t="s">
        <v>173</v>
      </c>
      <c r="D104" s="15" t="s">
        <v>208</v>
      </c>
      <c r="E104" s="15">
        <v>1</v>
      </c>
      <c r="F104" s="16">
        <v>41.1</v>
      </c>
      <c r="G104" s="17">
        <v>45759</v>
      </c>
      <c r="H104" s="15" t="s">
        <v>10</v>
      </c>
      <c r="I104" s="16">
        <v>65</v>
      </c>
      <c r="J104" s="16">
        <v>28</v>
      </c>
      <c r="K104" s="15" t="s">
        <v>174</v>
      </c>
      <c r="L104" s="18" t="s">
        <v>32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C3C65-121F-48CD-BBCA-6D9C5A02D568}">
  <dimension ref="A1:A4"/>
  <sheetViews>
    <sheetView workbookViewId="0">
      <selection activeCell="D10" sqref="D10"/>
    </sheetView>
  </sheetViews>
  <sheetFormatPr defaultRowHeight="14.4" x14ac:dyDescent="0.3"/>
  <cols>
    <col min="1" max="1" width="11" bestFit="1" customWidth="1"/>
  </cols>
  <sheetData>
    <row r="1" spans="1:1" x14ac:dyDescent="0.3">
      <c r="A1" s="26" t="s">
        <v>5</v>
      </c>
    </row>
    <row r="2" spans="1:1" x14ac:dyDescent="0.3">
      <c r="A2" t="s">
        <v>10</v>
      </c>
    </row>
    <row r="3" spans="1:1" x14ac:dyDescent="0.3">
      <c r="A3" t="s">
        <v>17</v>
      </c>
    </row>
    <row r="4" spans="1:1" x14ac:dyDescent="0.3">
      <c r="A4" t="s">
        <v>25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CA5C6BE-3B4C-4BAA-B75B-3846EEAB745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4670E7B-96FD-4A71-A744-088C5B533289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3.xml><?xml version="1.0" encoding="utf-8"?>
<ds:datastoreItem xmlns:ds="http://schemas.openxmlformats.org/officeDocument/2006/customXml" ds:itemID="{668C304A-AE5D-4F7D-B384-B87B3810ACA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Rastreio</vt:lpstr>
      <vt:lpstr>PEDIDOS</vt:lpstr>
      <vt:lpstr>LISTA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Silva Aguiar</dc:creator>
  <cp:lastModifiedBy>Barbara Goncalves | Baterias Moura</cp:lastModifiedBy>
  <dcterms:created xsi:type="dcterms:W3CDTF">2025-04-24T14:15:16Z</dcterms:created>
  <dcterms:modified xsi:type="dcterms:W3CDTF">2026-01-19T17:31:15Z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